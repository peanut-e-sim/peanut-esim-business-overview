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Volume Scenarios" sheetId="8" state="visible" r:id="rId8"/>
    <sheet xmlns:r="http://schemas.openxmlformats.org/officeDocument/2006/relationships" name="Procurement Options" sheetId="9" state="visible" r:id="rId9"/>
    <sheet xmlns:r="http://schemas.openxmlformats.org/officeDocument/2006/relationships" name="24-Month Rollout" sheetId="10" state="visible" r:id="rId10"/>
    <sheet xmlns:r="http://schemas.openxmlformats.org/officeDocument/2006/relationships" name="Behavior Sensitivity" sheetId="11" state="visible" r:id="rId11"/>
    <sheet xmlns:r="http://schemas.openxmlformats.org/officeDocument/2006/relationships" name="LTV-CAC + Churn" sheetId="12" state="visible" r:id="rId12"/>
    <sheet xmlns:r="http://schemas.openxmlformats.org/officeDocument/2006/relationships" name="Per-Tier Geo Mix" sheetId="13" state="visible" r:id="rId13"/>
    <sheet xmlns:r="http://schemas.openxmlformats.org/officeDocument/2006/relationships" name="Carryover Liability" sheetId="14" state="visible" r:id="rId14"/>
    <sheet xmlns:r="http://schemas.openxmlformats.org/officeDocument/2006/relationships" name="Strategic Scenarios" sheetId="15" state="visible" r:id="rId15"/>
    <sheet xmlns:r="http://schemas.openxmlformats.org/officeDocument/2006/relationships" name="Cash + Sensitivity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</numFmts>
  <fonts count="23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</fonts>
  <fills count="10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(pay-per-trip)</t>
        </is>
      </c>
      <c r="B14" s="10" t="n">
        <v>13.68</v>
      </c>
      <c r="C14" s="11">
        <f>B14*12</f>
        <v/>
      </c>
      <c r="D14" s="12" t="n">
        <v>2.5</v>
      </c>
      <c r="E14" s="13" t="n">
        <v>0</v>
      </c>
      <c r="F14" s="14" t="inlineStr">
        <is>
          <t>PAYG · avg 2.5 GB/mo @ $4.99/GB + 20% refuel attach @ $5.99</t>
        </is>
      </c>
    </row>
    <row r="15">
      <c r="A15" s="9" t="inlineStr">
        <is>
          <t>Roster Bundle</t>
        </is>
      </c>
      <c r="B15" s="10" t="n">
        <v>39.99</v>
      </c>
      <c r="C15" s="11">
        <f>B15*12</f>
        <v/>
      </c>
      <c r="D15" s="12" t="n">
        <v>10</v>
      </c>
      <c r="E15" s="13" t="n">
        <v>0.5</v>
      </c>
      <c r="F15" s="14" t="inlineStr">
        <is>
          <t>10GB pool · 50% carry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24.99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2mo · priority support · RECOMMENDED</t>
        </is>
      </c>
    </row>
    <row r="18">
      <c r="A18" s="9" t="inlineStr">
        <is>
          <t>First</t>
        </is>
      </c>
      <c r="B18" s="10" t="n">
        <v>49.99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s="9" t="inlineStr">
        <is>
          <t>Cockpit Annual</t>
        </is>
      </c>
      <c r="B19" s="10" t="n">
        <v>24.92</v>
      </c>
      <c r="C19" s="10" t="n">
        <v>299</v>
      </c>
      <c r="D19" s="12" t="n">
        <v>12</v>
      </c>
      <c r="E19" s="13" t="n">
        <v>1</v>
      </c>
      <c r="F19" s="14" t="inlineStr">
        <is>
          <t>$299/yr · 12GB monthly + 12GB lifetime emergency bank · 100% carry × 2mo · pilots only</t>
        </is>
      </c>
    </row>
    <row r="20">
      <c r="A20" s="9" t="inlineStr">
        <is>
          <t>Refuel (add-on)</t>
        </is>
      </c>
      <c r="B20" s="10" t="n">
        <v>5.99</v>
      </c>
      <c r="C20" s="11">
        <f>B20*12</f>
        <v/>
      </c>
      <c r="D20" s="12" t="n">
        <v>1</v>
      </c>
      <c r="E20" s="13" t="n">
        <v>0</v>
      </c>
      <c r="F20" s="14" t="inlineStr">
        <is>
          <t>Avg top-up</t>
        </is>
      </c>
    </row>
    <row r="23">
      <c r="A23" s="3" t="inlineStr">
        <is>
          <t>GEO COST BUCKETS (1GB / 1-day eSIM wholesale)</t>
        </is>
      </c>
    </row>
    <row r="24">
      <c r="A24" s="8" t="inlineStr">
        <is>
          <t>Bucket</t>
        </is>
      </c>
      <c r="B24" s="8" t="inlineStr">
        <is>
          <t>Description</t>
        </is>
      </c>
      <c r="C24" s="8" t="inlineStr">
        <is>
          <t>Cost USD</t>
        </is>
      </c>
      <c r="D24" s="8" t="inlineStr">
        <is>
          <t>% Mix</t>
        </is>
      </c>
    </row>
    <row r="25">
      <c r="A25" s="9" t="inlineStr">
        <is>
          <t>Tier-A (cheap)</t>
        </is>
      </c>
      <c r="B25" s="14" t="inlineStr">
        <is>
          <t>JP, UK, SG, MY, HK, KR, US</t>
        </is>
      </c>
      <c r="C25" s="10" t="n">
        <v>0.97</v>
      </c>
      <c r="D25" s="13" t="n">
        <v>0.6</v>
      </c>
    </row>
    <row r="26">
      <c r="A26" s="9" t="inlineStr">
        <is>
          <t>Tier-B (medium)</t>
        </is>
      </c>
      <c r="B26" s="14" t="inlineStr">
        <is>
          <t>CA, AU, NZ, VN, UAE</t>
        </is>
      </c>
      <c r="C26" s="10" t="n">
        <v>1.5</v>
      </c>
      <c r="D26" s="13" t="n">
        <v>0.25</v>
      </c>
    </row>
    <row r="27">
      <c r="A27" s="9" t="inlineStr">
        <is>
          <t>Tier-C (expensive)</t>
        </is>
      </c>
      <c r="B27" s="14" t="inlineStr">
        <is>
          <t>IN, BR, SA, ZA</t>
        </is>
      </c>
      <c r="C27" s="10" t="n">
        <v>5.8</v>
      </c>
      <c r="D27" s="13" t="n">
        <v>0.15</v>
      </c>
    </row>
    <row r="29">
      <c r="A29" s="9" t="inlineStr">
        <is>
          <t>BLENDED COST / GB</t>
        </is>
      </c>
      <c r="C29" s="11">
        <f>SUMPRODUCT(C25:C27,D25:D27)</f>
        <v/>
      </c>
    </row>
    <row r="32">
      <c r="A32" s="3" t="inlineStr">
        <is>
          <t>CABIN-CLASS MIX (% of paying users in each tier)</t>
        </is>
      </c>
    </row>
    <row r="33">
      <c r="A33" s="15" t="inlineStr">
        <is>
          <t>Tier</t>
        </is>
      </c>
      <c r="B33" s="15" t="inlineStr">
        <is>
          <t>% Users</t>
        </is>
      </c>
    </row>
    <row r="34">
      <c r="A34" s="9" t="inlineStr">
        <is>
          <t>Economy</t>
        </is>
      </c>
      <c r="B34" s="13" t="n">
        <v>0.5</v>
      </c>
    </row>
    <row r="35">
      <c r="A35" s="9" t="inlineStr">
        <is>
          <t>Roster Bundle</t>
        </is>
      </c>
      <c r="B35" s="13" t="n">
        <v>0.18</v>
      </c>
    </row>
    <row r="36">
      <c r="A36" s="9" t="inlineStr">
        <is>
          <t>Premium Economy</t>
        </is>
      </c>
      <c r="B36" s="13" t="n">
        <v>0.13</v>
      </c>
    </row>
    <row r="37">
      <c r="A37" s="9" t="inlineStr">
        <is>
          <t>Business</t>
        </is>
      </c>
      <c r="B37" s="13" t="n">
        <v>0.08</v>
      </c>
    </row>
    <row r="38">
      <c r="A38" s="9" t="inlineStr">
        <is>
          <t>First</t>
        </is>
      </c>
      <c r="B38" s="13" t="n">
        <v>0.05</v>
      </c>
    </row>
    <row r="39">
      <c r="A39" s="9" t="inlineStr">
        <is>
          <t>Cockpit</t>
        </is>
      </c>
      <c r="B39" s="13" t="n">
        <v>0.03</v>
      </c>
    </row>
    <row r="40">
      <c r="A40" s="9" t="inlineStr">
        <is>
          <t>Refuel attach</t>
        </is>
      </c>
      <c r="B40" s="13" t="n">
        <v>0.3</v>
      </c>
    </row>
    <row r="43">
      <c r="A43" s="3" t="inlineStr">
        <is>
          <t>OPERATING COST / USER / MONTH</t>
        </is>
      </c>
    </row>
    <row r="44">
      <c r="A44" s="15" t="inlineStr">
        <is>
          <t>Line</t>
        </is>
      </c>
      <c r="B44" s="15" t="inlineStr">
        <is>
          <t>USD</t>
        </is>
      </c>
    </row>
    <row r="45">
      <c r="A45" t="inlineStr">
        <is>
          <t>Cloud / API per user</t>
        </is>
      </c>
      <c r="B45" s="10" t="n">
        <v>0.15</v>
      </c>
    </row>
    <row r="46">
      <c r="A46" t="inlineStr">
        <is>
          <t>Payment processing (2.9% + $0.30)</t>
        </is>
      </c>
      <c r="B46" s="10" t="n">
        <v>0.5</v>
      </c>
    </row>
    <row r="47">
      <c r="A47" t="inlineStr">
        <is>
          <t>Customer support amortized</t>
        </is>
      </c>
      <c r="B47" s="10" t="n">
        <v>0.3</v>
      </c>
    </row>
    <row r="48">
      <c r="A48" t="inlineStr">
        <is>
          <t>SMS / OTP / verification</t>
        </is>
      </c>
      <c r="B48" s="10" t="n">
        <v>0.05</v>
      </c>
    </row>
    <row r="49">
      <c r="A49" t="inlineStr">
        <is>
          <t>Hosting + dev tools amortized</t>
        </is>
      </c>
      <c r="B49" s="10" t="n">
        <v>0.1</v>
      </c>
    </row>
    <row r="50">
      <c r="A50" s="9" t="inlineStr">
        <is>
          <t>TOTAL OPEX</t>
        </is>
      </c>
      <c r="B50" s="11">
        <f>SUM(B45:B49)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22" customWidth="1" min="5" max="5"/>
    <col width="28" customWidth="1" min="6" max="6"/>
  </cols>
  <sheetData>
    <row r="1">
      <c r="A1" s="1" t="inlineStr">
        <is>
          <t>User Behavior Profiles — % of pool consumed by user type</t>
        </is>
      </c>
    </row>
    <row r="2">
      <c r="A2" s="2" t="inlineStr">
        <is>
          <t>For each tier, model 4 user types. % of pool consumed determines COGS in pay-per-order model.</t>
        </is>
      </c>
    </row>
    <row r="4">
      <c r="A4" s="3" t="inlineStr">
        <is>
          <t>BEHAVIOR PROFILES (apply to all tiers)</t>
        </is>
      </c>
    </row>
    <row r="5">
      <c r="A5" s="8" t="inlineStr">
        <is>
          <t>Profile</t>
        </is>
      </c>
      <c r="B5" s="8" t="inlineStr">
        <is>
          <t>% of Users</t>
        </is>
      </c>
      <c r="C5" s="8" t="inlineStr">
        <is>
          <t>% of Pool Consumed</t>
        </is>
      </c>
      <c r="D5" s="8" t="inlineStr">
        <is>
          <t>Refuel Attach Rate</t>
        </is>
      </c>
      <c r="E5" s="8" t="inlineStr">
        <is>
          <t>Notes</t>
        </is>
      </c>
    </row>
    <row r="6">
      <c r="A6" s="9" t="inlineStr">
        <is>
          <t>Light user</t>
        </is>
      </c>
      <c r="B6" s="13" t="n">
        <v>0.25</v>
      </c>
      <c r="C6" s="13" t="n">
        <v>0.3</v>
      </c>
      <c r="D6" s="13" t="n">
        <v>0.1</v>
      </c>
      <c r="E6" s="14" t="inlineStr">
        <is>
          <t>Crew-skewed base: fewer pure-breakage users than general travel</t>
        </is>
      </c>
    </row>
    <row r="7">
      <c r="A7" s="9" t="inlineStr">
        <is>
          <t>Average user</t>
        </is>
      </c>
      <c r="B7" s="13" t="n">
        <v>0.4</v>
      </c>
      <c r="C7" s="13" t="n">
        <v>0.65</v>
      </c>
      <c r="D7" s="13" t="n">
        <v>0.3</v>
      </c>
      <c r="E7" s="14" t="inlineStr">
        <is>
          <t>Crew-skewed base: largest cohort — normal long-haul consumption</t>
        </is>
      </c>
    </row>
    <row r="8">
      <c r="A8" s="9" t="inlineStr">
        <is>
          <t>Heavy user</t>
        </is>
      </c>
      <c r="B8" s="13" t="n">
        <v>0.3</v>
      </c>
      <c r="C8" s="13" t="n">
        <v>0.95</v>
      </c>
      <c r="D8" s="13" t="n">
        <v>0.65</v>
      </c>
      <c r="E8" s="14" t="inlineStr">
        <is>
          <t>Crew-skewed base: more power users (it's their job to travel)</t>
        </is>
      </c>
    </row>
    <row r="9">
      <c r="A9" s="9" t="inlineStr">
        <is>
          <t>Churner</t>
        </is>
      </c>
      <c r="B9" s="13" t="n">
        <v>0.05</v>
      </c>
      <c r="C9" s="13" t="n">
        <v>0.1</v>
      </c>
      <c r="D9" s="13" t="n">
        <v>0</v>
      </c>
      <c r="E9" s="14" t="inlineStr">
        <is>
          <t>Tries one month, cancels — pure breakage</t>
        </is>
      </c>
    </row>
    <row r="10">
      <c r="A10" s="9" t="inlineStr">
        <is>
          <t>TOTAL</t>
        </is>
      </c>
      <c r="B10" s="16">
        <f>SUM(B6:B9)</f>
        <v/>
      </c>
    </row>
    <row r="11">
      <c r="A11" s="9" t="inlineStr">
        <is>
          <t>WEIGHTED AVG % POOL CONSUMED</t>
        </is>
      </c>
      <c r="C11" s="17">
        <f>SUMPRODUCT(B6:B9,C6:C9)</f>
        <v/>
      </c>
    </row>
    <row r="12">
      <c r="A12" s="9" t="inlineStr">
        <is>
          <t>WEIGHTED AVG REFUEL ATTACH</t>
        </is>
      </c>
      <c r="D12" s="17">
        <f>SUMPRODUCT(B6:B9,D6:D9)</f>
        <v/>
      </c>
    </row>
    <row r="15">
      <c r="A15" s="3" t="inlineStr">
        <is>
          <t>EXPECTED GB CONSUMED PER USER PER MONTH (by tier)</t>
        </is>
      </c>
    </row>
    <row r="16">
      <c r="A16" s="8" t="inlineStr">
        <is>
          <t>Tier</t>
        </is>
      </c>
      <c r="B16" s="8" t="inlineStr">
        <is>
          <t>Pool GB</t>
        </is>
      </c>
      <c r="C16" s="8" t="inlineStr">
        <is>
          <t>% Consumed</t>
        </is>
      </c>
      <c r="D16" s="8" t="inlineStr">
        <is>
          <t>GB Consumed</t>
        </is>
      </c>
      <c r="E16" s="8" t="inlineStr">
        <is>
          <t>GB Unused (carries)</t>
        </is>
      </c>
      <c r="F16" s="8" t="inlineStr">
        <is>
          <t>GB Truly Unused (breakage)</t>
        </is>
      </c>
    </row>
    <row r="17">
      <c r="A17" s="9" t="inlineStr">
        <is>
          <t>Economy</t>
        </is>
      </c>
      <c r="B17" s="18">
        <f>'README &amp; Assumptions'!D14</f>
        <v/>
      </c>
      <c r="C17" s="19" t="n">
        <v>1</v>
      </c>
      <c r="D17" s="20">
        <f>B17*C17</f>
        <v/>
      </c>
      <c r="E17" s="20">
        <f>(B17-D17)*'README &amp; Assumptions'!E14</f>
        <v/>
      </c>
      <c r="F17" s="20">
        <f>(B17-D17)*(1-'README &amp; Assumptions'!E14)</f>
        <v/>
      </c>
    </row>
    <row r="18">
      <c r="A18" s="9" t="inlineStr">
        <is>
          <t>Roster Bundle</t>
        </is>
      </c>
      <c r="B18" s="18">
        <f>'README &amp; Assumptions'!D15</f>
        <v/>
      </c>
      <c r="C18" s="19">
        <f>$C$11</f>
        <v/>
      </c>
      <c r="D18" s="20">
        <f>B18*C18</f>
        <v/>
      </c>
      <c r="E18" s="20">
        <f>(B18-D18)*'README &amp; Assumptions'!E15</f>
        <v/>
      </c>
      <c r="F18" s="20">
        <f>(B18-D18)*(1-'README &amp; Assumptions'!E15)</f>
        <v/>
      </c>
    </row>
    <row r="19">
      <c r="A19" s="9" t="inlineStr">
        <is>
          <t>Premium Economy</t>
        </is>
      </c>
      <c r="B19" s="18">
        <f>'README &amp; Assumptions'!D16</f>
        <v/>
      </c>
      <c r="C19" s="19">
        <f>$C$11</f>
        <v/>
      </c>
      <c r="D19" s="20">
        <f>B19*C19</f>
        <v/>
      </c>
      <c r="E19" s="20">
        <f>(B19-D19)*'README &amp; Assumptions'!E16</f>
        <v/>
      </c>
      <c r="F19" s="20">
        <f>(B19-D19)*(1-'README &amp; Assumptions'!E16)</f>
        <v/>
      </c>
    </row>
    <row r="20">
      <c r="A20" s="9" t="inlineStr">
        <is>
          <t>Business</t>
        </is>
      </c>
      <c r="B20" s="18">
        <f>'README &amp; Assumptions'!D17</f>
        <v/>
      </c>
      <c r="C20" s="19">
        <f>$C$11</f>
        <v/>
      </c>
      <c r="D20" s="20">
        <f>B20*C20</f>
        <v/>
      </c>
      <c r="E20" s="20">
        <f>(B20-D20)*'README &amp; Assumptions'!E17</f>
        <v/>
      </c>
      <c r="F20" s="20">
        <f>(B20-D20)*(1-'README &amp; Assumptions'!E17)</f>
        <v/>
      </c>
    </row>
    <row r="21">
      <c r="A21" s="9" t="inlineStr">
        <is>
          <t>First</t>
        </is>
      </c>
      <c r="B21" s="18">
        <f>'README &amp; Assumptions'!D18</f>
        <v/>
      </c>
      <c r="C21" s="19">
        <f>$C$11</f>
        <v/>
      </c>
      <c r="D21" s="20">
        <f>B21*C21</f>
        <v/>
      </c>
      <c r="E21" s="20">
        <f>(B21-D21)*'README &amp; Assumptions'!E18</f>
        <v/>
      </c>
      <c r="F21" s="20">
        <f>(B21-D21)*(1-'README &amp; Assumptions'!E18)</f>
        <v/>
      </c>
    </row>
    <row r="22">
      <c r="A22" s="9" t="inlineStr">
        <is>
          <t>Cockpit</t>
        </is>
      </c>
      <c r="B22" s="18">
        <f>'README &amp; Assumptions'!D19</f>
        <v/>
      </c>
      <c r="C22" s="19">
        <f>$C$11</f>
        <v/>
      </c>
      <c r="D22" s="20">
        <f>B22*C22</f>
        <v/>
      </c>
      <c r="E22" s="20">
        <f>(B22-D22)*'README &amp; Assumptions'!E19</f>
        <v/>
      </c>
      <c r="F22" s="20">
        <f>(B22-D22)*(1-'README &amp; Assumptions'!E19)</f>
        <v/>
      </c>
    </row>
    <row r="23">
      <c r="A23" s="9" t="inlineStr">
        <is>
          <t>Refuel attach</t>
        </is>
      </c>
      <c r="B23" s="18">
        <f>'README &amp; Assumptions'!D20</f>
        <v/>
      </c>
      <c r="C23" s="19">
        <f>$C$11</f>
        <v/>
      </c>
      <c r="D23" s="20">
        <f>B23*C23</f>
        <v/>
      </c>
      <c r="E23" s="20">
        <f>(B23-D23)*'README &amp; Assumptions'!E20</f>
        <v/>
      </c>
      <c r="F23" s="20">
        <f>(B23-D23)*(1-'README &amp; Assumptions'!E20)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1.2</v>
      </c>
      <c r="C59" s="39" t="inlineStr">
        <is>
          <t>70/20/10 mix across A/B/C zones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1.2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  <c r="B26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  <c r="B31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$1.20 blended wholesale: Samurai global-pool estimate; will sharpen after first month of real data.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2026-06-01T08:33:23Z</dcterms:modified>
</cp:coreProperties>
</file>