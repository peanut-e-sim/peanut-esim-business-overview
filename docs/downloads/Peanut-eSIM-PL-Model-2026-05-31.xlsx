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 &amp; Assumptions" sheetId="1" state="visible" r:id="rId1"/>
    <sheet xmlns:r="http://schemas.openxmlformats.org/officeDocument/2006/relationships" name="User Behavior" sheetId="2" state="visible" r:id="rId2"/>
    <sheet xmlns:r="http://schemas.openxmlformats.org/officeDocument/2006/relationships" name="Per-Tier Unit Economics" sheetId="3" state="visible" r:id="rId3"/>
    <sheet xmlns:r="http://schemas.openxmlformats.org/officeDocument/2006/relationships" name="Pricing Simulator" sheetId="4" state="visible" r:id="rId4"/>
    <sheet xmlns:r="http://schemas.openxmlformats.org/officeDocument/2006/relationships" name="Economy Logic" sheetId="5" state="visible" r:id="rId5"/>
    <sheet xmlns:r="http://schemas.openxmlformats.org/officeDocument/2006/relationships" name="Roster Bundle Logic" sheetId="6" state="visible" r:id="rId6"/>
    <sheet xmlns:r="http://schemas.openxmlformats.org/officeDocument/2006/relationships" name="Premium Economy Logic" sheetId="7" state="visible" r:id="rId7"/>
    <sheet xmlns:r="http://schemas.openxmlformats.org/officeDocument/2006/relationships" name="Business Logic" sheetId="8" state="visible" r:id="rId8"/>
    <sheet xmlns:r="http://schemas.openxmlformats.org/officeDocument/2006/relationships" name="First Logic" sheetId="9" state="visible" r:id="rId9"/>
    <sheet xmlns:r="http://schemas.openxmlformats.org/officeDocument/2006/relationships" name="First Suite Logic" sheetId="10" state="visible" r:id="rId10"/>
    <sheet xmlns:r="http://schemas.openxmlformats.org/officeDocument/2006/relationships" name="Cockpit Logic" sheetId="11" state="visible" r:id="rId11"/>
    <sheet xmlns:r="http://schemas.openxmlformats.org/officeDocument/2006/relationships" name="Refuel Logic" sheetId="12" state="visible" r:id="rId12"/>
    <sheet xmlns:r="http://schemas.openxmlformats.org/officeDocument/2006/relationships" name="Costs &amp; Burn" sheetId="13" state="visible" r:id="rId13"/>
    <sheet xmlns:r="http://schemas.openxmlformats.org/officeDocument/2006/relationships" name="Volume Scenarios" sheetId="14" state="visible" r:id="rId14"/>
    <sheet xmlns:r="http://schemas.openxmlformats.org/officeDocument/2006/relationships" name="Procurement Options" sheetId="15" state="visible" r:id="rId15"/>
    <sheet xmlns:r="http://schemas.openxmlformats.org/officeDocument/2006/relationships" name="24-Month Rollout" sheetId="16" state="visible" r:id="rId16"/>
    <sheet xmlns:r="http://schemas.openxmlformats.org/officeDocument/2006/relationships" name="Behavior Sensitivity" sheetId="17" state="visible" r:id="rId17"/>
    <sheet xmlns:r="http://schemas.openxmlformats.org/officeDocument/2006/relationships" name="LTV-CAC + Churn" sheetId="18" state="visible" r:id="rId18"/>
    <sheet xmlns:r="http://schemas.openxmlformats.org/officeDocument/2006/relationships" name="Per-Tier Geo Mix" sheetId="19" state="visible" r:id="rId19"/>
    <sheet xmlns:r="http://schemas.openxmlformats.org/officeDocument/2006/relationships" name="Carryover Liability" sheetId="20" state="visible" r:id="rId20"/>
    <sheet xmlns:r="http://schemas.openxmlformats.org/officeDocument/2006/relationships" name="Strategic Scenarios" sheetId="21" state="visible" r:id="rId21"/>
    <sheet xmlns:r="http://schemas.openxmlformats.org/officeDocument/2006/relationships" name="Cash + Sensitivity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17">
    <numFmt numFmtId="164" formatCode="$#,##0.00"/>
    <numFmt numFmtId="165" formatCode="0.0%"/>
    <numFmt numFmtId="166" formatCode="0.0"/>
    <numFmt numFmtId="167" formatCode="$#,##0"/>
    <numFmt numFmtId="168" formatCode="0.0&quot;x&quot;"/>
    <numFmt numFmtId="169" formatCode="$#,##0.00;[Red]-$#,##0.00"/>
    <numFmt numFmtId="170" formatCode="0&quot;x&quot;"/>
    <numFmt numFmtId="171" formatCode="$#,##0;[Red]-$#,##0"/>
    <numFmt numFmtId="172" formatCode="&quot;$&quot;#,##0.000"/>
    <numFmt numFmtId="173" formatCode="&quot;$&quot;#,##0.00"/>
    <numFmt numFmtId="174" formatCode="#,##0.00&quot; GB&quot;"/>
    <numFmt numFmtId="175" formatCode="&quot;$&quot;#,##0.00;[Red](&quot;$&quot;#,##0.00)"/>
    <numFmt numFmtId="176" formatCode="&quot;$&quot;#,##0"/>
    <numFmt numFmtId="177" formatCode="#,##0.0&quot; GB&quot;"/>
    <numFmt numFmtId="178" formatCode="#,##0&quot; users&quot;"/>
    <numFmt numFmtId="179" formatCode="&quot;$&quot;#,##0&quot; /mo&quot;"/>
    <numFmt numFmtId="180" formatCode="&quot;$&quot;#,##0.00&quot; /user/mo&quot;"/>
  </numFmts>
  <fonts count="35">
    <font>
      <name val="Calibri"/>
      <family val="2"/>
      <color theme="1"/>
      <sz val="11"/>
      <scheme val="minor"/>
    </font>
    <font>
      <name val="Arial"/>
      <b val="1"/>
      <sz val="14"/>
    </font>
    <font>
      <i val="1"/>
      <color rgb="00595959"/>
      <sz val="10"/>
    </font>
    <font>
      <name val="Arial"/>
      <b val="1"/>
      <color rgb="00D71921"/>
      <sz val="11"/>
    </font>
    <font>
      <name val="Arial"/>
      <color rgb="000000FF"/>
      <sz val="10"/>
    </font>
    <font>
      <name val="Arial"/>
      <sz val="10"/>
    </font>
    <font>
      <name val="Arial"/>
      <color rgb="00008000"/>
      <sz val="10"/>
    </font>
    <font>
      <name val="Arial"/>
      <b val="1"/>
      <color rgb="00FFFFFF"/>
      <sz val="11"/>
    </font>
    <font>
      <name val="Arial"/>
      <b val="1"/>
      <sz val="10"/>
    </font>
    <font>
      <i val="1"/>
      <color rgb="00595959"/>
      <sz val="9"/>
    </font>
    <font>
      <name val="Helvetica Neue"/>
      <b val="1"/>
      <sz val="14"/>
    </font>
    <font>
      <name val="Helvetica Neue"/>
      <i val="1"/>
      <color rgb="00666666"/>
      <sz val="10"/>
    </font>
    <font>
      <name val="Helvetica Neue"/>
      <b val="1"/>
      <color rgb="00D71921"/>
      <sz val="13"/>
    </font>
    <font>
      <name val="Helvetica Neue"/>
      <b val="1"/>
      <color rgb="00FFFFFF"/>
      <sz val="11"/>
    </font>
    <font>
      <name val="Helvetica Neue"/>
      <b val="1"/>
      <color rgb="000000FF"/>
      <sz val="11"/>
    </font>
    <font>
      <name val="Helvetica Neue"/>
      <b val="1"/>
      <sz val="11"/>
    </font>
    <font>
      <name val="Helvetica Neue"/>
      <color rgb="00008000"/>
      <sz val="11"/>
    </font>
    <font>
      <name val="Helvetica Neue"/>
      <color rgb="00000000"/>
      <sz val="11"/>
    </font>
    <font>
      <name val="Helvetica Neue"/>
      <b val="1"/>
      <sz val="16"/>
    </font>
    <font>
      <name val="Helvetica Neue"/>
      <b val="1"/>
      <color rgb="00008000"/>
      <sz val="12"/>
    </font>
    <font>
      <name val="Helvetica Neue"/>
      <b val="1"/>
      <color rgb="00B07A1F"/>
      <sz val="12"/>
    </font>
    <font>
      <name val="Helvetica Neue"/>
      <b val="1"/>
      <color rgb="00D71921"/>
      <sz val="12"/>
    </font>
    <font>
      <name val="Helvetica Neue"/>
      <b val="1"/>
      <color rgb="00008000"/>
      <sz val="11"/>
    </font>
    <font>
      <name val="Helvetica Neue"/>
      <b val="1"/>
      <i val="1"/>
      <color rgb="00B07A1F"/>
    </font>
    <font>
      <name val="Helvetica Neue"/>
      <i val="1"/>
      <color rgb="00666666"/>
    </font>
    <font>
      <name val="Helvetica Neue"/>
      <sz val="11"/>
    </font>
    <font>
      <name val="Helvetica Neue"/>
      <i val="1"/>
      <color rgb="00B07A1F"/>
      <sz val="10"/>
    </font>
    <font>
      <name val="Helvetica Neue"/>
      <b val="1"/>
      <sz val="10"/>
    </font>
    <font>
      <name val="Helvetica Neue"/>
      <i val="1"/>
      <color rgb="00D71921"/>
      <sz val="10"/>
    </font>
    <font>
      <name val="Helvetica Neue"/>
      <b val="1"/>
      <color rgb="002B2B2B"/>
      <sz val="20"/>
    </font>
    <font>
      <name val="Helvetica Neue"/>
      <i val="1"/>
      <color rgb="006B6B6B"/>
      <sz val="10"/>
    </font>
    <font>
      <name val="Helvetica Neue"/>
      <b val="1"/>
      <color rgb="00D71921"/>
      <sz val="14"/>
    </font>
    <font>
      <name val="Helvetica Neue"/>
      <sz val="10"/>
    </font>
    <font>
      <name val="Helvetica Neue"/>
      <b val="1"/>
      <i val="1"/>
      <color rgb="006B6B6B"/>
      <sz val="10"/>
    </font>
    <font>
      <name val="Helvetica Neue"/>
      <b val="1"/>
      <color rgb="00D71921"/>
      <sz val="11"/>
    </font>
  </fonts>
  <fills count="19">
    <fill>
      <patternFill/>
    </fill>
    <fill>
      <patternFill patternType="gray125"/>
    </fill>
    <fill>
      <patternFill patternType="solid">
        <fgColor rgb="00FFF6E5"/>
      </patternFill>
    </fill>
    <fill>
      <patternFill patternType="solid">
        <fgColor rgb="00D71921"/>
      </patternFill>
    </fill>
    <fill>
      <patternFill patternType="solid">
        <fgColor rgb="001A1A1A"/>
      </patternFill>
    </fill>
    <fill>
      <patternFill patternType="solid">
        <fgColor rgb="00FFFFCC"/>
      </patternFill>
    </fill>
    <fill>
      <patternFill patternType="solid">
        <fgColor rgb="00FFE0B3"/>
      </patternFill>
    </fill>
    <fill>
      <patternFill patternType="solid">
        <fgColor rgb="00D4EDDA"/>
      </patternFill>
    </fill>
    <fill>
      <patternFill patternType="solid">
        <fgColor rgb="00F8D7DA"/>
      </patternFill>
    </fill>
    <fill>
      <patternFill patternType="solid">
        <fgColor rgb="00FFF3CD"/>
      </patternFill>
    </fill>
    <fill>
      <patternFill patternType="solid">
        <fgColor rgb="002B2B2B"/>
      </patternFill>
    </fill>
    <fill>
      <patternFill patternType="solid">
        <fgColor rgb="00FFF4B8"/>
      </patternFill>
    </fill>
    <fill>
      <patternFill patternType="solid">
        <fgColor rgb="00F7F7F7"/>
      </patternFill>
    </fill>
    <fill>
      <patternFill patternType="solid">
        <fgColor rgb="002A4A8A"/>
      </patternFill>
    </fill>
    <fill>
      <patternFill patternType="solid">
        <fgColor rgb="00B07A1F"/>
      </patternFill>
    </fill>
    <fill>
      <patternFill patternType="solid">
        <fgColor rgb="002D7A4F"/>
      </patternFill>
    </fill>
    <fill>
      <patternFill patternType="solid">
        <fgColor rgb="005C7CB8"/>
      </patternFill>
    </fill>
    <fill>
      <patternFill patternType="solid">
        <fgColor rgb="00D8A547"/>
      </patternFill>
    </fill>
    <fill>
      <patternFill patternType="solid">
        <fgColor rgb="005BAA82"/>
      </patternFill>
    </fill>
  </fills>
  <borders count="6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  <border>
      <left/>
      <right/>
      <top style="thin">
        <color rgb="00D0D0D0"/>
      </top>
      <bottom/>
      <diagonal/>
    </border>
    <border>
      <left/>
      <right style="thin">
        <color rgb="00D0D0D0"/>
      </right>
      <top style="thin">
        <color rgb="00D0D0D0"/>
      </top>
      <bottom/>
      <diagonal/>
    </border>
    <border>
      <left/>
      <right/>
      <top style="thin">
        <color rgb="00D0D0D0"/>
      </top>
      <bottom style="thin">
        <color rgb="00D0D0D0"/>
      </bottom>
      <diagonal/>
    </border>
    <border>
      <left/>
      <right style="thin">
        <color rgb="00D0D0D0"/>
      </right>
      <top style="thin">
        <color rgb="00D0D0D0"/>
      </top>
      <bottom style="thin">
        <color rgb="00D0D0D0"/>
      </bottom>
      <diagonal/>
    </border>
  </borders>
  <cellStyleXfs count="1">
    <xf numFmtId="0" fontId="0" fillId="0" borderId="0"/>
  </cellStyleXfs>
  <cellXfs count="127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0" borderId="0" pivotButton="0" quotePrefix="0" xfId="0"/>
    <xf numFmtId="0" fontId="0" fillId="2" borderId="0" pivotButton="0" quotePrefix="0" xfId="0"/>
    <xf numFmtId="0" fontId="7" fillId="3" borderId="0" applyAlignment="1" pivotButton="0" quotePrefix="0" xfId="0">
      <alignment horizontal="center" vertical="center"/>
    </xf>
    <xf numFmtId="0" fontId="8" fillId="0" borderId="0" pivotButton="0" quotePrefix="0" xfId="0"/>
    <xf numFmtId="164" fontId="4" fillId="2" borderId="0" pivotButton="0" quotePrefix="0" xfId="0"/>
    <xf numFmtId="164" fontId="5" fillId="0" borderId="0" pivotButton="0" quotePrefix="0" xfId="0"/>
    <xf numFmtId="0" fontId="4" fillId="2" borderId="0" pivotButton="0" quotePrefix="0" xfId="0"/>
    <xf numFmtId="9" fontId="4" fillId="2" borderId="0" pivotButton="0" quotePrefix="0" xfId="0"/>
    <xf numFmtId="0" fontId="9" fillId="0" borderId="0" pivotButton="0" quotePrefix="0" xfId="0"/>
    <xf numFmtId="0" fontId="7" fillId="3" borderId="0" pivotButton="0" quotePrefix="0" xfId="0"/>
    <xf numFmtId="9" fontId="5" fillId="0" borderId="0" pivotButton="0" quotePrefix="0" xfId="0"/>
    <xf numFmtId="165" fontId="5" fillId="0" borderId="0" pivotButton="0" quotePrefix="0" xfId="0"/>
    <xf numFmtId="166" fontId="6" fillId="0" borderId="0" pivotButton="0" quotePrefix="0" xfId="0"/>
    <xf numFmtId="165" fontId="6" fillId="0" borderId="0" pivotButton="0" quotePrefix="0" xfId="0"/>
    <xf numFmtId="166" fontId="5" fillId="0" borderId="0" pivotButton="0" quotePrefix="0" xfId="0"/>
    <xf numFmtId="164" fontId="6" fillId="0" borderId="0" pivotButton="0" quotePrefix="0" xfId="0"/>
    <xf numFmtId="164" fontId="8" fillId="0" borderId="0" pivotButton="0" quotePrefix="0" xfId="0"/>
    <xf numFmtId="3" fontId="4" fillId="2" borderId="0" pivotButton="0" quotePrefix="0" xfId="0"/>
    <xf numFmtId="167" fontId="5" fillId="0" borderId="0" pivotButton="0" quotePrefix="0" xfId="0"/>
    <xf numFmtId="167" fontId="8" fillId="0" borderId="0" pivotButton="0" quotePrefix="0" xfId="0"/>
    <xf numFmtId="165" fontId="0" fillId="0" borderId="0" pivotButton="0" quotePrefix="0" xfId="0"/>
    <xf numFmtId="167" fontId="0" fillId="0" borderId="0" pivotButton="0" quotePrefix="0" xfId="0"/>
    <xf numFmtId="167" fontId="4" fillId="2" borderId="0" pivotButton="0" quotePrefix="0" xfId="0"/>
    <xf numFmtId="165" fontId="4" fillId="2" borderId="0" pivotButton="0" quotePrefix="0" xfId="0"/>
    <xf numFmtId="168" fontId="8" fillId="0" borderId="0" pivotButton="0" quotePrefix="0" xfId="0"/>
    <xf numFmtId="169" fontId="5" fillId="0" borderId="0" pivotButton="0" quotePrefix="0" xfId="0"/>
    <xf numFmtId="9" fontId="6" fillId="0" borderId="0" pivotButton="0" quotePrefix="0" xfId="0"/>
    <xf numFmtId="166" fontId="8" fillId="0" borderId="0" pivotButton="0" quotePrefix="0" xfId="0"/>
    <xf numFmtId="170" fontId="4" fillId="2" borderId="0" pivotButton="0" quotePrefix="0" xfId="0"/>
    <xf numFmtId="169" fontId="8" fillId="0" borderId="0" pivotButton="0" quotePrefix="0" xfId="0"/>
    <xf numFmtId="171" fontId="5" fillId="0" borderId="0" pivotButton="0" quotePrefix="0" xfId="0"/>
    <xf numFmtId="3" fontId="5" fillId="0" borderId="0" pivotButton="0" quotePrefix="0" xfId="0"/>
    <xf numFmtId="0" fontId="10" fillId="0" borderId="0" pivotButton="0" quotePrefix="0" xfId="0"/>
    <xf numFmtId="0" fontId="11" fillId="0" borderId="0" pivotButton="0" quotePrefix="0" xfId="0"/>
    <xf numFmtId="0" fontId="12" fillId="0" borderId="0" pivotButton="0" quotePrefix="0" xfId="0"/>
    <xf numFmtId="0" fontId="13" fillId="4" borderId="0" pivotButton="0" quotePrefix="0" xfId="0"/>
    <xf numFmtId="172" fontId="14" fillId="5" borderId="0" pivotButton="0" quotePrefix="0" xfId="0"/>
    <xf numFmtId="0" fontId="15" fillId="0" borderId="0" pivotButton="0" quotePrefix="0" xfId="0"/>
    <xf numFmtId="172" fontId="15" fillId="6" borderId="0" pivotButton="0" quotePrefix="0" xfId="0"/>
    <xf numFmtId="165" fontId="16" fillId="0" borderId="0" pivotButton="0" quotePrefix="0" xfId="0"/>
    <xf numFmtId="173" fontId="16" fillId="0" borderId="0" pivotButton="0" quotePrefix="0" xfId="0"/>
    <xf numFmtId="0" fontId="13" fillId="4" borderId="0" applyAlignment="1" pivotButton="0" quotePrefix="0" xfId="0">
      <alignment horizontal="center" vertical="center" wrapText="1"/>
    </xf>
    <xf numFmtId="0" fontId="17" fillId="0" borderId="0" pivotButton="0" quotePrefix="0" xfId="0"/>
    <xf numFmtId="174" fontId="16" fillId="0" borderId="0" pivotButton="0" quotePrefix="0" xfId="0"/>
    <xf numFmtId="174" fontId="17" fillId="0" borderId="0" pivotButton="0" quotePrefix="0" xfId="0"/>
    <xf numFmtId="173" fontId="17" fillId="0" borderId="0" pivotButton="0" quotePrefix="0" xfId="0"/>
    <xf numFmtId="165" fontId="17" fillId="0" borderId="0" pivotButton="0" quotePrefix="0" xfId="0"/>
    <xf numFmtId="0" fontId="18" fillId="0" borderId="0" pivotButton="0" quotePrefix="0" xfId="0"/>
    <xf numFmtId="173" fontId="0" fillId="0" borderId="0" pivotButton="0" quotePrefix="0" xfId="0"/>
    <xf numFmtId="173" fontId="15" fillId="0" borderId="0" pivotButton="0" quotePrefix="0" xfId="0"/>
    <xf numFmtId="9" fontId="0" fillId="7" borderId="0" pivotButton="0" quotePrefix="0" xfId="0"/>
    <xf numFmtId="9" fontId="0" fillId="0" borderId="0" pivotButton="0" quotePrefix="0" xfId="0"/>
    <xf numFmtId="9" fontId="0" fillId="8" borderId="0" pivotButton="0" quotePrefix="0" xfId="0"/>
    <xf numFmtId="173" fontId="0" fillId="7" borderId="0" pivotButton="0" quotePrefix="0" xfId="0"/>
    <xf numFmtId="175" fontId="0" fillId="7" borderId="0" pivotButton="0" quotePrefix="0" xfId="0"/>
    <xf numFmtId="175" fontId="0" fillId="0" borderId="0" pivotButton="0" quotePrefix="0" xfId="0"/>
    <xf numFmtId="173" fontId="0" fillId="8" borderId="0" pivotButton="0" quotePrefix="0" xfId="0"/>
    <xf numFmtId="175" fontId="0" fillId="8" borderId="0" pivotButton="0" quotePrefix="0" xfId="0"/>
    <xf numFmtId="0" fontId="17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1" fontId="17" fillId="0" borderId="0" pivotButton="0" quotePrefix="0" xfId="0"/>
    <xf numFmtId="173" fontId="19" fillId="0" borderId="0" pivotButton="0" quotePrefix="0" xfId="0"/>
    <xf numFmtId="173" fontId="21" fillId="0" borderId="0" pivotButton="0" quotePrefix="0" xfId="0"/>
    <xf numFmtId="0" fontId="14" fillId="5" borderId="0" pivotButton="0" quotePrefix="0" xfId="0"/>
    <xf numFmtId="3" fontId="0" fillId="0" borderId="0" pivotButton="0" quotePrefix="0" xfId="0"/>
    <xf numFmtId="176" fontId="19" fillId="0" borderId="0" pivotButton="0" quotePrefix="0" xfId="0"/>
    <xf numFmtId="0" fontId="15" fillId="7" borderId="0" pivotButton="0" quotePrefix="0" xfId="0"/>
    <xf numFmtId="173" fontId="15" fillId="7" borderId="0" pivotButton="0" quotePrefix="0" xfId="0"/>
    <xf numFmtId="9" fontId="15" fillId="7" borderId="0" pivotButton="0" quotePrefix="0" xfId="0"/>
    <xf numFmtId="173" fontId="22" fillId="7" borderId="0" pivotButton="0" quotePrefix="0" xfId="0"/>
    <xf numFmtId="0" fontId="11" fillId="7" borderId="0" pivotButton="0" quotePrefix="0" xfId="0"/>
    <xf numFmtId="0" fontId="17" fillId="9" borderId="0" pivotButton="0" quotePrefix="0" xfId="0"/>
    <xf numFmtId="173" fontId="0" fillId="9" borderId="0" pivotButton="0" quotePrefix="0" xfId="0"/>
    <xf numFmtId="0" fontId="11" fillId="9" borderId="0" pivotButton="0" quotePrefix="0" xfId="0"/>
    <xf numFmtId="9" fontId="14" fillId="5" borderId="0" pivotButton="0" quotePrefix="0" xfId="0"/>
    <xf numFmtId="174" fontId="0" fillId="0" borderId="0" pivotButton="0" quotePrefix="0" xfId="0"/>
    <xf numFmtId="173" fontId="19" fillId="7" borderId="0" pivotButton="0" quotePrefix="0" xfId="0"/>
    <xf numFmtId="165" fontId="19" fillId="7" borderId="0" pivotButton="0" quotePrefix="0" xfId="0"/>
    <xf numFmtId="0" fontId="17" fillId="7" borderId="0" pivotButton="0" quotePrefix="0" xfId="0"/>
    <xf numFmtId="176" fontId="0" fillId="0" borderId="0" pivotButton="0" quotePrefix="0" xfId="0"/>
    <xf numFmtId="176" fontId="22" fillId="7" borderId="0" pivotButton="0" quotePrefix="0" xfId="0"/>
    <xf numFmtId="0" fontId="23" fillId="0" borderId="0" pivotButton="0" quotePrefix="0" xfId="0"/>
    <xf numFmtId="0" fontId="24" fillId="0" borderId="0" pivotButton="0" quotePrefix="0" xfId="0"/>
    <xf numFmtId="0" fontId="25" fillId="0" borderId="0" pivotButton="0" quotePrefix="0" xfId="0"/>
    <xf numFmtId="177" fontId="0" fillId="0" borderId="0" pivotButton="0" quotePrefix="0" xfId="0"/>
    <xf numFmtId="0" fontId="26" fillId="0" borderId="0" pivotButton="0" quotePrefix="0" xfId="0"/>
    <xf numFmtId="0" fontId="25" fillId="7" borderId="0" pivotButton="0" quotePrefix="0" xfId="0"/>
    <xf numFmtId="0" fontId="21" fillId="0" borderId="0" pivotButton="0" quotePrefix="0" xfId="0"/>
    <xf numFmtId="0" fontId="27" fillId="0" borderId="0" pivotButton="0" quotePrefix="0" xfId="0"/>
    <xf numFmtId="178" fontId="0" fillId="0" borderId="0" pivotButton="0" quotePrefix="0" xfId="0"/>
    <xf numFmtId="179" fontId="0" fillId="0" borderId="0" pivotButton="0" quotePrefix="0" xfId="0"/>
    <xf numFmtId="0" fontId="28" fillId="0" borderId="0" pivotButton="0" quotePrefix="0" xfId="0"/>
    <xf numFmtId="0" fontId="16" fillId="0" borderId="0" pivotButton="0" quotePrefix="0" xfId="0"/>
    <xf numFmtId="3" fontId="22" fillId="7" borderId="0" pivotButton="0" quotePrefix="0" xfId="0"/>
    <xf numFmtId="173" fontId="16" fillId="7" borderId="0" pivotButton="0" quotePrefix="0" xfId="0"/>
    <xf numFmtId="174" fontId="16" fillId="7" borderId="0" pivotButton="0" quotePrefix="0" xfId="0"/>
    <xf numFmtId="9" fontId="14" fillId="7" borderId="0" pivotButton="0" quotePrefix="0" xfId="0"/>
    <xf numFmtId="165" fontId="0" fillId="7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0" borderId="0" applyAlignment="1" pivotButton="0" quotePrefix="0" xfId="0">
      <alignment vertical="center"/>
    </xf>
    <xf numFmtId="0" fontId="13" fillId="10" borderId="1" applyAlignment="1" pivotButton="0" quotePrefix="0" xfId="0">
      <alignment horizontal="left" vertical="center" wrapText="1"/>
    </xf>
    <xf numFmtId="0" fontId="32" fillId="0" borderId="1" applyAlignment="1" pivotButton="0" quotePrefix="0" xfId="0">
      <alignment horizontal="left" vertical="center" wrapText="1"/>
    </xf>
    <xf numFmtId="173" fontId="32" fillId="11" borderId="1" applyAlignment="1" pivotButton="0" quotePrefix="0" xfId="0">
      <alignment horizontal="left" vertical="center" wrapText="1"/>
    </xf>
    <xf numFmtId="0" fontId="30" fillId="0" borderId="1" applyAlignment="1" pivotButton="0" quotePrefix="0" xfId="0">
      <alignment horizontal="left" vertical="center" wrapText="1"/>
    </xf>
    <xf numFmtId="0" fontId="32" fillId="11" borderId="1" applyAlignment="1" pivotButton="0" quotePrefix="0" xfId="0">
      <alignment horizontal="left" vertical="center" wrapText="1"/>
    </xf>
    <xf numFmtId="0" fontId="27" fillId="12" borderId="1" applyAlignment="1" pivotButton="0" quotePrefix="0" xfId="0">
      <alignment horizontal="left" vertical="center" wrapText="1"/>
    </xf>
    <xf numFmtId="180" fontId="27" fillId="12" borderId="1" applyAlignment="1" pivotButton="0" quotePrefix="0" xfId="0">
      <alignment horizontal="left" vertical="center" wrapText="1"/>
    </xf>
    <xf numFmtId="0" fontId="33" fillId="12" borderId="1" applyAlignment="1" pivotButton="0" quotePrefix="0" xfId="0">
      <alignment horizontal="left" vertical="center" wrapText="1"/>
    </xf>
    <xf numFmtId="176" fontId="32" fillId="11" borderId="1" applyAlignment="1" pivotButton="0" quotePrefix="0" xfId="0">
      <alignment horizontal="left" vertical="center" wrapText="1"/>
    </xf>
    <xf numFmtId="176" fontId="27" fillId="12" borderId="1" applyAlignment="1" pivotButton="0" quotePrefix="0" xfId="0">
      <alignment horizontal="left" vertical="center" wrapText="1"/>
    </xf>
    <xf numFmtId="0" fontId="0" fillId="0" borderId="4" pivotButton="0" quotePrefix="0" xfId="0"/>
    <xf numFmtId="0" fontId="0" fillId="0" borderId="5" pivotButton="0" quotePrefix="0" xfId="0"/>
    <xf numFmtId="0" fontId="34" fillId="0" borderId="0" pivotButton="0" quotePrefix="0" xfId="0"/>
    <xf numFmtId="0" fontId="13" fillId="13" borderId="0" applyAlignment="1" pivotButton="0" quotePrefix="0" xfId="0">
      <alignment horizontal="center" vertical="center"/>
    </xf>
    <xf numFmtId="0" fontId="13" fillId="14" borderId="0" applyAlignment="1" pivotButton="0" quotePrefix="0" xfId="0">
      <alignment horizontal="center" vertical="center"/>
    </xf>
    <xf numFmtId="0" fontId="13" fillId="15" borderId="0" applyAlignment="1" pivotButton="0" quotePrefix="0" xfId="0">
      <alignment horizontal="center" vertical="center"/>
    </xf>
    <xf numFmtId="0" fontId="13" fillId="16" borderId="0" applyAlignment="1" pivotButton="0" quotePrefix="0" xfId="0">
      <alignment horizontal="center" vertical="center" wrapText="1"/>
    </xf>
    <xf numFmtId="0" fontId="13" fillId="17" borderId="0" applyAlignment="1" pivotButton="0" quotePrefix="0" xfId="0">
      <alignment horizontal="center" vertical="center" wrapText="1"/>
    </xf>
    <xf numFmtId="0" fontId="13" fillId="18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6" customWidth="1" min="3" max="3"/>
    <col width="14" customWidth="1" min="4" max="4"/>
    <col width="14" customWidth="1" min="5" max="5"/>
    <col width="38" customWidth="1" min="6" max="6"/>
  </cols>
  <sheetData>
    <row r="1">
      <c r="A1" s="1" t="inlineStr">
        <is>
          <t>Peanut eSIM — P&amp;L Model v2</t>
        </is>
      </c>
    </row>
    <row r="2">
      <c r="A2" s="2" t="inlineStr">
        <is>
          <t>Built 2026-05-31. Pay-per-order assumption: COGS = actual GB consumed (not pool size). All yellow cells = editable inputs.</t>
        </is>
      </c>
    </row>
    <row r="4">
      <c r="A4" s="3" t="inlineStr">
        <is>
          <t>COLOR KEY</t>
        </is>
      </c>
    </row>
    <row r="5">
      <c r="A5" s="4" t="inlineStr">
        <is>
          <t>Blue</t>
        </is>
      </c>
      <c r="B5" t="inlineStr">
        <is>
          <t>Hardcoded input — change at will</t>
        </is>
      </c>
    </row>
    <row r="6">
      <c r="A6" s="5" t="inlineStr">
        <is>
          <t>Black</t>
        </is>
      </c>
      <c r="B6" t="inlineStr">
        <is>
          <t>Formula — do not edit</t>
        </is>
      </c>
    </row>
    <row r="7">
      <c r="A7" s="6" t="inlineStr">
        <is>
          <t>Green</t>
        </is>
      </c>
      <c r="B7" t="inlineStr">
        <is>
          <t>Cross-sheet reference</t>
        </is>
      </c>
    </row>
    <row r="8">
      <c r="A8" s="7" t="inlineStr">
        <is>
          <t>Yellow cell</t>
        </is>
      </c>
      <c r="B8" t="inlineStr">
        <is>
          <t>Key assumption — review before pitching</t>
        </is>
      </c>
    </row>
    <row r="10">
      <c r="A10" s="3" t="inlineStr">
        <is>
          <t>KEY ASSUMPTIONS (the things that drive every other number)</t>
        </is>
      </c>
    </row>
    <row r="12">
      <c r="A12" s="3" t="inlineStr">
        <is>
          <t>CABIN CLASS RETAIL PRICES</t>
        </is>
      </c>
    </row>
    <row r="13">
      <c r="A13" s="8" t="inlineStr">
        <is>
          <t>Tier</t>
        </is>
      </c>
      <c r="B13" s="8" t="inlineStr">
        <is>
          <t>Monthly Retail</t>
        </is>
      </c>
      <c r="C13" s="8" t="inlineStr">
        <is>
          <t>Annualized</t>
        </is>
      </c>
      <c r="D13" s="8" t="inlineStr">
        <is>
          <t>GB Pool</t>
        </is>
      </c>
      <c r="E13" s="8" t="inlineStr">
        <is>
          <t>Carry-over %</t>
        </is>
      </c>
      <c r="F13" s="8" t="inlineStr">
        <is>
          <t>Notes</t>
        </is>
      </c>
    </row>
    <row r="14">
      <c r="A14" s="9" t="inlineStr">
        <is>
          <t>Economy (PAYG)</t>
        </is>
      </c>
      <c r="B14" s="10" t="n">
        <v>4.99</v>
      </c>
      <c r="C14" s="11">
        <f>B14*12</f>
        <v/>
      </c>
      <c r="D14" s="12" t="n">
        <v>1</v>
      </c>
      <c r="E14" s="13" t="n">
        <v>0</v>
      </c>
      <c r="F14" s="14" t="inlineStr">
        <is>
          <t>$4.99 per 1 GB top-up · no subscription · blocked for active subscribers</t>
        </is>
      </c>
    </row>
    <row r="15">
      <c r="A15" s="9" t="inlineStr">
        <is>
          <t>Roster Bundle</t>
        </is>
      </c>
      <c r="B15" s="10" t="n">
        <v>19.95</v>
      </c>
      <c r="C15" s="11">
        <f>B15*12</f>
        <v/>
      </c>
      <c r="D15" s="12" t="n">
        <v>5</v>
      </c>
      <c r="E15" s="13" t="n">
        <v>0</v>
      </c>
      <c r="F15" s="14" t="inlineStr">
        <is>
          <t>$3.99 per flight · cap $39.99/mo · auto-arms eSIM at each layover · roster upload required</t>
        </is>
      </c>
    </row>
    <row r="16">
      <c r="A16" s="9" t="inlineStr">
        <is>
          <t>Premium Economy</t>
        </is>
      </c>
      <c r="B16" s="10" t="n">
        <v>17.99</v>
      </c>
      <c r="C16" s="11">
        <f>B16*12</f>
        <v/>
      </c>
      <c r="D16" s="12" t="n">
        <v>10</v>
      </c>
      <c r="E16" s="13" t="n">
        <v>0.5</v>
      </c>
      <c r="F16" s="14" t="inlineStr">
        <is>
          <t>10GB pool · 50% carry × 1mo · lounge guides</t>
        </is>
      </c>
    </row>
    <row r="17">
      <c r="A17" s="9" t="inlineStr">
        <is>
          <t>Business</t>
        </is>
      </c>
      <c r="B17" s="10" t="n">
        <v>29.99</v>
      </c>
      <c r="C17" s="11">
        <f>B17*12</f>
        <v/>
      </c>
      <c r="D17" s="12" t="n">
        <v>15</v>
      </c>
      <c r="E17" s="13" t="n">
        <v>0.7</v>
      </c>
      <c r="F17" s="14" t="inlineStr">
        <is>
          <t>15GB pool · 70% carry × 1mo · priority support · RECOMMENDED</t>
        </is>
      </c>
    </row>
    <row r="18">
      <c r="A18" s="9" t="inlineStr">
        <is>
          <t>First</t>
        </is>
      </c>
      <c r="B18" s="10" t="n">
        <v>39.99</v>
      </c>
      <c r="C18" s="11">
        <f>B18*12</f>
        <v/>
      </c>
      <c r="D18" s="12" t="n">
        <v>25</v>
      </c>
      <c r="E18" s="13" t="n">
        <v>1</v>
      </c>
      <c r="F18" s="14" t="inlineStr">
        <is>
          <t>25GB pool · 100% carry × 2mo · concierge layer</t>
        </is>
      </c>
    </row>
    <row r="19">
      <c r="A19" t="inlineStr">
        <is>
          <t>First Suite</t>
        </is>
      </c>
      <c r="B19" t="n">
        <v>49.99</v>
      </c>
      <c r="C19">
        <f>B19*12</f>
        <v/>
      </c>
      <c r="D19" t="n">
        <v>40</v>
      </c>
      <c r="E19" t="n">
        <v>1</v>
      </c>
      <c r="F19" t="inlineStr">
        <is>
          <t>40GB pool · 100% carry × 2mo · concierge + status badge · top of ladder</t>
        </is>
      </c>
    </row>
    <row r="20">
      <c r="A20" s="9" t="inlineStr">
        <is>
          <t>Cockpit (annual)</t>
        </is>
      </c>
      <c r="B20" s="10" t="n">
        <v>24.92</v>
      </c>
      <c r="C20" s="10" t="n">
        <v>299</v>
      </c>
      <c r="D20" s="12" t="n">
        <v>12</v>
      </c>
      <c r="E20" s="13" t="n">
        <v>1</v>
      </c>
      <c r="F20" s="14" t="inlineStr">
        <is>
          <t>$299/yr · 12GB monthly · 12GB emergency bank (refreshes annually) · 100% × 2mo carry · 1-yr lock</t>
        </is>
      </c>
    </row>
    <row r="21">
      <c r="A21" s="9" t="inlineStr">
        <is>
          <t>Refuel (add-on)</t>
        </is>
      </c>
      <c r="B21" s="10" t="n">
        <v>4.99</v>
      </c>
      <c r="C21" s="11">
        <f>B20*12</f>
        <v/>
      </c>
      <c r="D21" s="12" t="n">
        <v>1</v>
      </c>
      <c r="E21" s="13" t="n">
        <v>0</v>
      </c>
      <c r="F21" s="14" t="inlineStr">
        <is>
          <t>Avg top-up · matched to Economy price · only refuel option for subscribers</t>
        </is>
      </c>
    </row>
    <row r="22">
      <c r="A22" s="88" t="inlineStr">
        <is>
          <t>⚠ Economy backdoor closure</t>
        </is>
      </c>
      <c r="B22" s="89" t="inlineStr">
        <is>
          <t>Economy product hidden from active subscribers in app. Subscribers only see refuel option ($4.99). Closes the backdoor where subscribers could buy cheaper Economy top-ups.</t>
        </is>
      </c>
    </row>
    <row r="24">
      <c r="A24" s="3" t="inlineStr">
        <is>
          <t>GEO COST BUCKETS (1GB / 1-day eSIM wholesale)</t>
        </is>
      </c>
    </row>
    <row r="25">
      <c r="A25" s="92" t="inlineStr">
        <is>
          <t>⚠ MIX UPDATED 2026-06-01: 75/20/5 (Emirates-crew realistic) replaces 60/25/15 placeholder. Blended drops $2.13 → $1.34/GB. Akito to validate via crew roster samples.</t>
        </is>
      </c>
    </row>
    <row r="26">
      <c r="A26" s="8" t="inlineStr">
        <is>
          <t>Bucket</t>
        </is>
      </c>
      <c r="B26" s="8" t="inlineStr">
        <is>
          <t>Description</t>
        </is>
      </c>
      <c r="C26" s="8" t="inlineStr">
        <is>
          <t>$/GB</t>
        </is>
      </c>
      <c r="D26" s="8" t="inlineStr">
        <is>
          <t>% Mix</t>
        </is>
      </c>
    </row>
    <row r="27">
      <c r="A27" s="9" t="inlineStr">
        <is>
          <t>Tier-A (cheap)</t>
        </is>
      </c>
      <c r="B27" s="14" t="inlineStr">
        <is>
          <t>JP, UK, SG, MY, HK, KR, US</t>
        </is>
      </c>
      <c r="C27" s="10" t="n">
        <v>0.85</v>
      </c>
      <c r="D27" s="13" t="n">
        <v>0.75</v>
      </c>
    </row>
    <row r="28">
      <c r="A28" s="9" t="inlineStr">
        <is>
          <t>Tier-B (medium)</t>
        </is>
      </c>
      <c r="B28" s="14" t="inlineStr">
        <is>
          <t>CA, AU, NZ, VN, UAE</t>
        </is>
      </c>
      <c r="C28" s="10" t="n">
        <v>1.4</v>
      </c>
      <c r="D28" s="13" t="n">
        <v>0.2</v>
      </c>
    </row>
    <row r="29">
      <c r="A29" s="9" t="inlineStr">
        <is>
          <t>Tier-C (expensive)</t>
        </is>
      </c>
      <c r="B29" s="14" t="inlineStr">
        <is>
          <t>IN, BR, SA, ZA</t>
        </is>
      </c>
      <c r="C29" s="10" t="n">
        <v>8.5</v>
      </c>
      <c r="D29" s="13" t="n">
        <v>0.05</v>
      </c>
    </row>
    <row r="31">
      <c r="A31" s="9" t="inlineStr">
        <is>
          <t>BLENDED COST / GB</t>
        </is>
      </c>
      <c r="C31" s="11">
        <f>SUMPRODUCT(C27:C29,D27:D29)</f>
        <v/>
      </c>
    </row>
    <row r="34">
      <c r="A34" s="3" t="inlineStr">
        <is>
          <t>CABIN-CLASS MIX (% of paying users in each tier)</t>
        </is>
      </c>
    </row>
    <row r="35">
      <c r="A35" s="15" t="inlineStr">
        <is>
          <t>Tier</t>
        </is>
      </c>
      <c r="B35" s="15" t="inlineStr">
        <is>
          <t>% Users</t>
        </is>
      </c>
    </row>
    <row r="36">
      <c r="A36" s="9" t="inlineStr">
        <is>
          <t>Economy</t>
        </is>
      </c>
      <c r="B36" s="13" t="n">
        <v>0.5</v>
      </c>
    </row>
    <row r="37">
      <c r="A37" s="9" t="inlineStr">
        <is>
          <t>Roster Bundle</t>
        </is>
      </c>
      <c r="B37" s="13" t="n">
        <v>0.18</v>
      </c>
    </row>
    <row r="38">
      <c r="A38" s="9" t="inlineStr">
        <is>
          <t>Premium Economy</t>
        </is>
      </c>
      <c r="B38" s="13" t="n">
        <v>0.13</v>
      </c>
    </row>
    <row r="39">
      <c r="A39" s="9" t="inlineStr">
        <is>
          <t>Business</t>
        </is>
      </c>
      <c r="B39" s="13" t="n">
        <v>0.08</v>
      </c>
    </row>
    <row r="40">
      <c r="A40" s="9" t="inlineStr">
        <is>
          <t>First</t>
        </is>
      </c>
      <c r="B40" s="13" t="n">
        <v>0.03</v>
      </c>
    </row>
    <row r="41">
      <c r="A41" t="inlineStr">
        <is>
          <t>First Suite</t>
        </is>
      </c>
      <c r="B41" t="n">
        <v>0.02</v>
      </c>
    </row>
    <row r="42">
      <c r="A42" s="9" t="inlineStr">
        <is>
          <t>Cockpit</t>
        </is>
      </c>
      <c r="B42" s="13" t="n">
        <v>0.03</v>
      </c>
    </row>
    <row r="43">
      <c r="A43" s="9" t="inlineStr">
        <is>
          <t>Refuel attach</t>
        </is>
      </c>
      <c r="B43" s="13" t="n">
        <v>0.3</v>
      </c>
    </row>
    <row r="46">
      <c r="A46" s="3" t="inlineStr">
        <is>
          <t>OPERATING COST / USER / MONTH</t>
        </is>
      </c>
    </row>
    <row r="47">
      <c r="A47" s="15" t="inlineStr">
        <is>
          <t>Line</t>
        </is>
      </c>
      <c r="B47" s="15" t="inlineStr">
        <is>
          <t>USD</t>
        </is>
      </c>
    </row>
    <row r="48">
      <c r="A48" t="inlineStr">
        <is>
          <t>Cloud / API per user</t>
        </is>
      </c>
      <c r="B48" s="10" t="n">
        <v>0.15</v>
      </c>
    </row>
    <row r="49">
      <c r="A49" t="inlineStr">
        <is>
          <t>Payment processing (Stripe 2.9% + $0.30, mixed IAP)</t>
        </is>
      </c>
      <c r="B49" s="10" t="n">
        <v>1.2</v>
      </c>
    </row>
    <row r="50">
      <c r="A50" t="inlineStr">
        <is>
          <t>Customer support amortized</t>
        </is>
      </c>
      <c r="B50" s="10" t="n">
        <v>0.3</v>
      </c>
    </row>
    <row r="51">
      <c r="A51" t="inlineStr">
        <is>
          <t>SMS / OTP / verification</t>
        </is>
      </c>
      <c r="B51" s="10" t="n">
        <v>0.05</v>
      </c>
    </row>
    <row r="52">
      <c r="A52" t="inlineStr">
        <is>
          <t>Hosting + dev tools amortized</t>
        </is>
      </c>
      <c r="B52" s="10" t="n">
        <v>0.1</v>
      </c>
    </row>
    <row r="53">
      <c r="A53" s="9" t="inlineStr">
        <is>
          <t>TOTAL OPEX</t>
        </is>
      </c>
      <c r="B53" s="11">
        <f>SUM(B45:B49)</f>
        <v/>
      </c>
    </row>
    <row r="55">
      <c r="A55" s="94" t="inlineStr">
        <is>
          <t>PAYMENT PROCESSING — 3 SCENARIOS</t>
        </is>
      </c>
    </row>
    <row r="56">
      <c r="A56" s="41" t="inlineStr">
        <is>
          <t>Scenario</t>
        </is>
      </c>
      <c r="B56" s="41" t="inlineStr">
        <is>
          <t>$/user/mo</t>
        </is>
      </c>
      <c r="C56" s="41" t="inlineStr">
        <is>
          <t>Total OPEX</t>
        </is>
      </c>
      <c r="D56" s="41" t="inlineStr">
        <is>
          <t>Notes</t>
        </is>
      </c>
    </row>
    <row r="57">
      <c r="A57" s="90" t="inlineStr">
        <is>
          <t>Optimistic — Stripe only (web-first)</t>
        </is>
      </c>
      <c r="B57" s="54" t="n">
        <v>1</v>
      </c>
      <c r="C57" s="54" t="n">
        <v>1.6</v>
      </c>
      <c r="D57" s="39" t="inlineStr">
        <is>
          <t>iOS users routed to web checkout via Universal Link</t>
        </is>
      </c>
    </row>
    <row r="58">
      <c r="A58" s="93" t="inlineStr">
        <is>
          <t>Realistic — Mixed Stripe + some Apple IAP</t>
        </is>
      </c>
      <c r="B58" s="59" t="n">
        <v>1.2</v>
      </c>
      <c r="C58" s="59" t="n">
        <v>1.8</v>
      </c>
      <c r="D58" s="77" t="inlineStr">
        <is>
          <t>CURRENT MODEL VALUE</t>
        </is>
      </c>
    </row>
    <row r="59">
      <c r="A59" s="90" t="inlineStr">
        <is>
          <t>Conservative — Apple IAP heavy</t>
        </is>
      </c>
      <c r="B59" s="54" t="n">
        <v>1.5</v>
      </c>
      <c r="C59" s="54" t="n">
        <v>2.1</v>
      </c>
      <c r="D59" s="39" t="inlineStr">
        <is>
          <t>Use this for investor pitches — protects against bad iOS routing</t>
        </is>
      </c>
    </row>
    <row r="61">
      <c r="A61" s="95" t="inlineStr">
        <is>
          <t>At 100K users / month:</t>
        </is>
      </c>
    </row>
    <row r="62">
      <c r="A62" s="39" t="inlineStr">
        <is>
          <t xml:space="preserve">  Optimistic ($1.00/user)</t>
        </is>
      </c>
      <c r="B62" s="96" t="n">
        <v>100000</v>
      </c>
      <c r="C62" s="97" t="n">
        <v>100000</v>
      </c>
    </row>
    <row r="63">
      <c r="A63" s="39" t="inlineStr">
        <is>
          <t xml:space="preserve">  Realistic ($1.20/user)</t>
        </is>
      </c>
      <c r="B63" s="96" t="n">
        <v>100000</v>
      </c>
      <c r="C63" s="97" t="n">
        <v>120000</v>
      </c>
    </row>
    <row r="64">
      <c r="A64" s="39" t="inlineStr">
        <is>
          <t xml:space="preserve">  Conservative ($1.50/user)</t>
        </is>
      </c>
      <c r="B64" s="96" t="n">
        <v>100000</v>
      </c>
      <c r="C64" s="97" t="n">
        <v>150000</v>
      </c>
    </row>
    <row r="65">
      <c r="A65" s="98" t="inlineStr">
        <is>
          <t xml:space="preserve">  Range / month: $50K — $80K — $120K</t>
        </is>
      </c>
    </row>
  </sheetData>
  <mergeCells count="1">
    <mergeCell ref="A25:D25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2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14" customWidth="1" min="3" max="3"/>
    <col width="14" customWidth="1" min="4" max="4"/>
    <col width="50" customWidth="1" min="5" max="5"/>
    <col width="14" customWidth="1" min="6" max="6"/>
  </cols>
  <sheetData>
    <row r="1">
      <c r="A1" s="38" t="inlineStr">
        <is>
          <t>Tab 2 — User Behavior</t>
        </is>
      </c>
    </row>
    <row r="2">
      <c r="A2" s="39" t="inlineStr">
        <is>
          <t>PURPOSE: Predicts how much data crew will actually USE (not buy). Drives COGS in every other tab. Most leveraged tab in the workbook.</t>
        </is>
      </c>
    </row>
    <row r="4">
      <c r="A4" s="94" t="inlineStr">
        <is>
          <t>1. BEHAVIOR ARCHETYPES — who our paying users are</t>
        </is>
      </c>
    </row>
    <row r="5">
      <c r="A5" s="39" t="inlineStr">
        <is>
          <t>ABOUT THIS SECTION: Every paying crew member falls into one of 4 user types. These define a CONCEPTUAL MODEL of who buys our product. Crew-skewed (25/40/30/5) — we adjusted from general travel (40/35/20/5) because crew fly 8-12x/month.</t>
        </is>
      </c>
    </row>
    <row r="7">
      <c r="A7" s="41" t="inlineStr">
        <is>
          <t>Archetype</t>
        </is>
      </c>
      <c r="B7" s="41" t="inlineStr">
        <is>
          <t>% of Users</t>
        </is>
      </c>
      <c r="C7" s="41" t="inlineStr">
        <is>
          <t>% Pool Consumed</t>
        </is>
      </c>
      <c r="D7" s="41" t="inlineStr">
        <is>
          <t>Refuel Attach</t>
        </is>
      </c>
      <c r="E7" s="41" t="inlineStr">
        <is>
          <t>Mental Picture</t>
        </is>
      </c>
    </row>
    <row r="8">
      <c r="A8" s="90" t="inlineStr">
        <is>
          <t>Light user</t>
        </is>
      </c>
      <c r="B8" s="81" t="n">
        <v>0.25</v>
      </c>
      <c r="C8" s="81" t="n">
        <v>0.3</v>
      </c>
      <c r="D8" s="81" t="n">
        <v>0.1</v>
      </c>
      <c r="E8" s="39" t="inlineStr">
        <is>
          <t>"Subscribed Premium just in case." Pool mostly unused. Pure breakage gold.</t>
        </is>
      </c>
    </row>
    <row r="9">
      <c r="A9" s="90" t="inlineStr">
        <is>
          <t>Average user</t>
        </is>
      </c>
      <c r="B9" s="81" t="n">
        <v>0.4</v>
      </c>
      <c r="C9" s="81" t="n">
        <v>0.65</v>
      </c>
      <c r="D9" s="81" t="n">
        <v>0.3</v>
      </c>
      <c r="E9" s="39" t="inlineStr">
        <is>
          <t>Default crew. Eats most of pool. Refuels ~1 month in 3.</t>
        </is>
      </c>
    </row>
    <row r="10">
      <c r="A10" s="90" t="inlineStr">
        <is>
          <t>Heavy user</t>
        </is>
      </c>
      <c r="B10" s="81" t="n">
        <v>0.3</v>
      </c>
      <c r="C10" s="81" t="n">
        <v>0.95</v>
      </c>
      <c r="D10" s="81" t="n">
        <v>0.65</v>
      </c>
      <c r="E10" s="39" t="inlineStr">
        <is>
          <t>Long-haul + connectivity dependent. Almost full consumption, often refuels.</t>
        </is>
      </c>
    </row>
    <row r="11">
      <c r="A11" s="90" t="inlineStr">
        <is>
          <t>Churner</t>
        </is>
      </c>
      <c r="B11" s="81" t="n">
        <v>0.05</v>
      </c>
      <c r="C11" s="81" t="n">
        <v>0.1</v>
      </c>
      <c r="D11" s="81" t="n">
        <v>0</v>
      </c>
      <c r="E11" s="39" t="inlineStr">
        <is>
          <t>Tries one month, cancels. Single-month pure breakage.</t>
        </is>
      </c>
    </row>
    <row r="12">
      <c r="A12" s="43" t="inlineStr">
        <is>
          <t>TOTAL</t>
        </is>
      </c>
      <c r="B12" s="57">
        <f>SUM(B8:B11)</f>
        <v/>
      </c>
    </row>
    <row r="13">
      <c r="A13" s="43" t="inlineStr">
        <is>
          <t>WEIGHTED AVG % POOL CONSUMED</t>
        </is>
      </c>
      <c r="C13" s="26">
        <f>SUMPRODUCT(B8:B11,C8:C11)</f>
        <v/>
      </c>
    </row>
    <row r="14">
      <c r="A14" s="43" t="inlineStr">
        <is>
          <t>WEIGHTED AVG REFUEL ATTACH</t>
        </is>
      </c>
      <c r="D14" s="26">
        <f>SUMPRODUCT(B8:B11,D8:D11)</f>
        <v/>
      </c>
    </row>
    <row r="15">
      <c r="A15" s="92" t="inlineStr">
        <is>
          <t>⚠ ESTIMATE: Archetype mix and consumption % are educated guesses based on general SaaS benchmarks. NOT validated for crew-specific eSIM. Akito to validate via 20-30 crew interviews this week.</t>
        </is>
      </c>
    </row>
    <row r="17">
      <c r="A17" s="94" t="inlineStr">
        <is>
          <t>2. PER-TIER CONSUMPTION — what the model actually USES for COGS</t>
        </is>
      </c>
    </row>
    <row r="18">
      <c r="A18" s="39" t="inlineStr">
        <is>
          <t>ABOUT THIS SECTION: After we locked the 1-GB refill UX, the single archetype weighted average no longer reflects reality. Each tier has its own consumption % based on friction-capped usage (~13 GB max per user regardless of pool size). These per-tier rates OVERRIDE Section 1's weighted average.</t>
        </is>
      </c>
    </row>
    <row r="20">
      <c r="A20" s="41" t="inlineStr">
        <is>
          <t>Tier</t>
        </is>
      </c>
      <c r="B20" s="41" t="inlineStr">
        <is>
          <t>Pool GB</t>
        </is>
      </c>
      <c r="C20" s="41" t="inlineStr">
        <is>
          <t>% Consumed</t>
        </is>
      </c>
      <c r="D20" s="41" t="inlineStr">
        <is>
          <t>GB Consumed</t>
        </is>
      </c>
      <c r="E20" s="41" t="inlineStr">
        <is>
          <t>GB Carries</t>
        </is>
      </c>
      <c r="F20" s="41" t="inlineStr">
        <is>
          <t>GB Breakage</t>
        </is>
      </c>
    </row>
    <row r="21">
      <c r="A21" s="90" t="inlineStr">
        <is>
          <t>Economy (PAYG)</t>
        </is>
      </c>
      <c r="B21" s="99">
        <f>'README &amp; Assumptions'!D14</f>
        <v/>
      </c>
      <c r="C21" s="81" t="n">
        <v>1</v>
      </c>
      <c r="D21" s="82">
        <f>B21*C21</f>
        <v/>
      </c>
      <c r="E21" s="82">
        <f>(B21-D21)*'README &amp; Assumptions'!E14</f>
        <v/>
      </c>
      <c r="F21" s="82">
        <f>(B21-D21)*(1-'README &amp; Assumptions'!E14)</f>
        <v/>
      </c>
    </row>
    <row r="22">
      <c r="A22" s="90" t="inlineStr">
        <is>
          <t>Roster Bundle</t>
        </is>
      </c>
      <c r="B22" s="99">
        <f>'README &amp; Assumptions'!D15</f>
        <v/>
      </c>
      <c r="C22" s="81" t="n">
        <v>1</v>
      </c>
      <c r="D22" s="82">
        <f>B22*C22</f>
        <v/>
      </c>
      <c r="E22" s="82">
        <f>(B22-D22)*'README &amp; Assumptions'!E15</f>
        <v/>
      </c>
      <c r="F22" s="82">
        <f>(B22-D22)*(1-'README &amp; Assumptions'!E15)</f>
        <v/>
      </c>
    </row>
    <row r="23">
      <c r="A23" s="90" t="inlineStr">
        <is>
          <t>Premium Economy</t>
        </is>
      </c>
      <c r="B23" s="99">
        <f>'README &amp; Assumptions'!D16</f>
        <v/>
      </c>
      <c r="C23" s="81" t="n">
        <v>0.4</v>
      </c>
      <c r="D23" s="82">
        <f>B23*C23</f>
        <v/>
      </c>
      <c r="E23" s="82">
        <f>(B23-D23)*'README &amp; Assumptions'!E16</f>
        <v/>
      </c>
      <c r="F23" s="82">
        <f>(B23-D23)*(1-'README &amp; Assumptions'!E16)</f>
        <v/>
      </c>
    </row>
    <row r="24">
      <c r="A24" s="90" t="inlineStr">
        <is>
          <t>Business</t>
        </is>
      </c>
      <c r="B24" s="99">
        <f>'README &amp; Assumptions'!D17</f>
        <v/>
      </c>
      <c r="C24" s="81" t="n">
        <v>0.45</v>
      </c>
      <c r="D24" s="82">
        <f>B24*C24</f>
        <v/>
      </c>
      <c r="E24" s="82">
        <f>(B24-D24)*'README &amp; Assumptions'!E17</f>
        <v/>
      </c>
      <c r="F24" s="82">
        <f>(B24-D24)*(1-'README &amp; Assumptions'!E17)</f>
        <v/>
      </c>
    </row>
    <row r="25">
      <c r="A25" s="90" t="inlineStr">
        <is>
          <t>First</t>
        </is>
      </c>
      <c r="B25">
        <f>'README &amp; Assumptions'!D18</f>
        <v/>
      </c>
      <c r="C25" t="n">
        <v>0.4</v>
      </c>
      <c r="D25">
        <f>B25*C25</f>
        <v/>
      </c>
      <c r="E25">
        <f>(B25-D25)*'README &amp; Assumptions'!E18</f>
        <v/>
      </c>
      <c r="F25">
        <f>(B25-D25)*(1-'README &amp; Assumptions'!E18)</f>
        <v/>
      </c>
    </row>
    <row r="26">
      <c r="A26" s="90" t="inlineStr">
        <is>
          <t>First Suite</t>
        </is>
      </c>
      <c r="B26" s="99">
        <f>'README &amp; Assumptions'!D19</f>
        <v/>
      </c>
      <c r="C26" s="81" t="n">
        <v>0.33</v>
      </c>
      <c r="D26" s="82">
        <f>B26*C26</f>
        <v/>
      </c>
      <c r="E26" s="82">
        <f>(B26-D26)*'README &amp; Assumptions'!E19</f>
        <v/>
      </c>
      <c r="F26" s="82">
        <f>(B26-D26)*(1-'README &amp; Assumptions'!E19)</f>
        <v/>
      </c>
    </row>
    <row r="27">
      <c r="A27" s="90" t="inlineStr">
        <is>
          <t>Cockpit</t>
        </is>
      </c>
      <c r="B27" s="99">
        <f>'README &amp; Assumptions'!D20</f>
        <v/>
      </c>
      <c r="C27" s="81" t="n">
        <v>0.6</v>
      </c>
      <c r="D27" s="82">
        <f>B27*C27</f>
        <v/>
      </c>
      <c r="E27" s="82">
        <f>(B27-D27)*'README &amp; Assumptions'!E20</f>
        <v/>
      </c>
      <c r="F27" s="82">
        <f>(B27-D27)*(1-'README &amp; Assumptions'!E20)</f>
        <v/>
      </c>
    </row>
    <row r="28">
      <c r="A28" s="90" t="inlineStr">
        <is>
          <t>Refuel</t>
        </is>
      </c>
      <c r="B28" s="99">
        <f>'README &amp; Assumptions'!D21</f>
        <v/>
      </c>
      <c r="C28" s="81" t="n">
        <v>1</v>
      </c>
      <c r="D28" s="82">
        <f>B28*C28</f>
        <v/>
      </c>
      <c r="E28" s="82">
        <f>(B28-D28)*'README &amp; Assumptions'!E21</f>
        <v/>
      </c>
      <c r="F28" s="82">
        <f>(B28-D28)*(1-'README &amp; Assumptions'!E21)</f>
        <v/>
      </c>
    </row>
    <row r="30">
      <c r="A30" s="92" t="inlineStr">
        <is>
          <t>⚠ ESTIMATE: Per-tier consumption rates (40/45/54/33/60) are MY ESTIMATES based on the 1-GB friction logic. Real consumption could land 30-70%. App analytics months 1-3 post-launch will replace these with measured values.</t>
        </is>
      </c>
    </row>
    <row r="32">
      <c r="A32" s="94" t="inlineStr">
        <is>
          <t>3. THE KEY INSIGHT — pool expansion is essentially FREE to us</t>
        </is>
      </c>
    </row>
    <row r="33">
      <c r="A33" s="39" t="inlineStr">
        <is>
          <t>Because 1-GB friction caps consumption at ~13 GB regardless of pool size, going from First (25 GB) to First Suite (40 GB) costs us nothing in COGS but doubles the perceived value. This is why First Suite at $1.25/GB is the anchor product — best per-GB on the ladder, same cost to us.</t>
        </is>
      </c>
    </row>
    <row r="35">
      <c r="A35" s="41" t="inlineStr">
        <is>
          <t>Tier</t>
        </is>
      </c>
      <c r="B35" s="41" t="inlineStr">
        <is>
          <t>Pool</t>
        </is>
      </c>
      <c r="C35" s="41" t="inlineStr">
        <is>
          <t>GB Consumed (friction-capped)</t>
        </is>
      </c>
      <c r="D35" s="41" t="inlineStr">
        <is>
          <t>Per-GB price</t>
        </is>
      </c>
      <c r="E35" s="41" t="inlineStr">
        <is>
          <t>Insight</t>
        </is>
      </c>
    </row>
    <row r="36">
      <c r="A36" s="90" t="inlineStr">
        <is>
          <t>Premium Economy</t>
        </is>
      </c>
      <c r="B36" s="90" t="inlineStr">
        <is>
          <t>10 GB</t>
        </is>
      </c>
      <c r="C36" s="90" t="inlineStr">
        <is>
          <t>4 GB</t>
        </is>
      </c>
      <c r="D36" s="90" t="inlineStr">
        <is>
          <t>$1.80</t>
        </is>
      </c>
      <c r="E36" s="39" t="inlineStr">
        <is>
          <t>Small pool — friction matters most</t>
        </is>
      </c>
    </row>
    <row r="37">
      <c r="A37" s="90" t="inlineStr">
        <is>
          <t>Business ⭐</t>
        </is>
      </c>
      <c r="B37" s="90" t="inlineStr">
        <is>
          <t>15 GB</t>
        </is>
      </c>
      <c r="C37" s="90" t="inlineStr">
        <is>
          <t>6.75 GB</t>
        </is>
      </c>
      <c r="D37" s="90" t="inlineStr">
        <is>
          <t>$2.00</t>
        </is>
      </c>
      <c r="E37" s="39" t="inlineStr">
        <is>
          <t>Recommended tier — peak per-GB</t>
        </is>
      </c>
    </row>
    <row r="38">
      <c r="A38" s="90" t="inlineStr">
        <is>
          <t>First</t>
        </is>
      </c>
      <c r="B38" s="90" t="inlineStr">
        <is>
          <t>25 GB</t>
        </is>
      </c>
      <c r="C38" s="90" t="inlineStr">
        <is>
          <t>13.5 GB</t>
        </is>
      </c>
      <c r="D38" s="90" t="inlineStr">
        <is>
          <t>$1.60</t>
        </is>
      </c>
      <c r="E38" s="39" t="inlineStr">
        <is>
          <t>Heavy users near friction cap</t>
        </is>
      </c>
    </row>
    <row r="39">
      <c r="A39" s="90" t="inlineStr">
        <is>
          <t>First Suite ⭐</t>
        </is>
      </c>
      <c r="B39" s="90" t="inlineStr">
        <is>
          <t>40 GB</t>
        </is>
      </c>
      <c r="C39" s="90" t="inlineStr">
        <is>
          <t>13.2 GB</t>
        </is>
      </c>
      <c r="D39" s="90" t="inlineStr">
        <is>
          <t>$1.25</t>
        </is>
      </c>
      <c r="E39" s="39" t="inlineStr">
        <is>
          <t>ANCHOR PRODUCT — same cost, better marketing</t>
        </is>
      </c>
    </row>
    <row r="40">
      <c r="A40" s="90" t="inlineStr">
        <is>
          <t>Cockpit</t>
        </is>
      </c>
      <c r="B40" s="90" t="inlineStr">
        <is>
          <t>12 GB</t>
        </is>
      </c>
      <c r="C40" s="90" t="inlineStr">
        <is>
          <t>7.2 GB</t>
        </is>
      </c>
      <c r="D40" s="90" t="inlineStr">
        <is>
          <t>$1.92</t>
        </is>
      </c>
      <c r="E40" s="39" t="inlineStr">
        <is>
          <t>Pool tight, friction less constraining</t>
        </is>
      </c>
    </row>
    <row r="42">
      <c r="A42" s="94" t="inlineStr">
        <is>
          <t>4. HOW THIS TAB FEEDS THE MODEL</t>
        </is>
      </c>
    </row>
    <row r="43">
      <c r="A43" s="39" t="inlineStr">
        <is>
          <t>Tab 2 outputs go into 7+ downstream tabs. Change ANY number here, the whole workbook recalculates. A small mistake here cascades everywhere — that's why we validate carefully.</t>
        </is>
      </c>
    </row>
    <row r="45">
      <c r="A45" s="41" t="inlineStr">
        <is>
          <t>Downstream tab</t>
        </is>
      </c>
      <c r="B45" s="41" t="inlineStr">
        <is>
          <t>What it does with Tab 2</t>
        </is>
      </c>
    </row>
    <row r="46">
      <c r="A46" s="90" t="inlineStr">
        <is>
          <t>Tab 3 — Per-Tier Unit Economics</t>
        </is>
      </c>
      <c r="B46" s="90" t="inlineStr">
        <is>
          <t>Uses GB Consumed → COGS per user → Gross margin</t>
        </is>
      </c>
    </row>
    <row r="47">
      <c r="A47" s="90" t="inlineStr">
        <is>
          <t>Tab 4 — Pricing Simulator</t>
        </is>
      </c>
      <c r="B47" s="90" t="inlineStr">
        <is>
          <t>Uses behavior inputs → break-even / margin-target retail prices</t>
        </is>
      </c>
    </row>
    <row r="48">
      <c r="A48" s="90" t="inlineStr">
        <is>
          <t>Tab 5 — Volume Scenarios</t>
        </is>
      </c>
      <c r="B48" s="90" t="inlineStr">
        <is>
          <t>Per-user × user counts → 1K/5K/10K/100K P&amp;L</t>
        </is>
      </c>
    </row>
    <row r="49">
      <c r="A49" s="90" t="inlineStr">
        <is>
          <t>Tab 7 — Behavior Sensitivity</t>
        </is>
      </c>
      <c r="B49" s="90" t="inlineStr">
        <is>
          <t>Stress-tests by shifting archetype mix</t>
        </is>
      </c>
    </row>
    <row r="50">
      <c r="A50" s="90" t="inlineStr">
        <is>
          <t>Tab 8 — LTV-CAC + Churn</t>
        </is>
      </c>
      <c r="B50" s="90" t="inlineStr">
        <is>
          <t>Consumption + churn → lifetime value</t>
        </is>
      </c>
    </row>
    <row r="51">
      <c r="A51" s="90" t="inlineStr">
        <is>
          <t>Tab 10 — Carryover Liability</t>
        </is>
      </c>
      <c r="B51" s="90" t="inlineStr">
        <is>
          <t>GB Carries → deferred revenue + aging schedule</t>
        </is>
      </c>
    </row>
    <row r="52">
      <c r="A52" s="90" t="inlineStr">
        <is>
          <t>Tab 11 — Strategic Scenarios</t>
        </is>
      </c>
      <c r="B52" s="90" t="inlineStr">
        <is>
          <t>Supplier path comparisons under behavioral assumptions</t>
        </is>
      </c>
    </row>
    <row r="53">
      <c r="A53" s="90" t="inlineStr">
        <is>
          <t>Per-plan Logic tabs</t>
        </is>
      </c>
      <c r="B53" s="90" t="inlineStr">
        <is>
          <t>Each plan's deep-dive economics</t>
        </is>
      </c>
    </row>
    <row r="55">
      <c r="A55" s="94" t="inlineStr">
        <is>
          <t>5. VALIDATION QUEUE — what needs to be tested with real data</t>
        </is>
      </c>
    </row>
    <row r="56">
      <c r="A56" s="41" t="inlineStr">
        <is>
          <t>Item</t>
        </is>
      </c>
      <c r="B56" s="41" t="inlineStr">
        <is>
          <t>Owner</t>
        </is>
      </c>
      <c r="C56" s="41" t="inlineStr">
        <is>
          <t>When</t>
        </is>
      </c>
    </row>
    <row r="57">
      <c r="A57" s="90" t="inlineStr">
        <is>
          <t>Validate archetype mix (25/40/30/5) with crew interviews</t>
        </is>
      </c>
      <c r="B57" s="90" t="inlineStr">
        <is>
          <t>Akito</t>
        </is>
      </c>
      <c r="C57" s="90" t="inlineStr">
        <is>
          <t>This week</t>
        </is>
      </c>
    </row>
    <row r="58">
      <c r="A58" s="90" t="inlineStr">
        <is>
          <t>Validate consumption per archetype (30/65/95/10)</t>
        </is>
      </c>
      <c r="B58" s="90" t="inlineStr">
        <is>
          <t>Akito</t>
        </is>
      </c>
      <c r="C58" s="90" t="inlineStr">
        <is>
          <t>Same crew interviews</t>
        </is>
      </c>
    </row>
    <row r="59">
      <c r="A59" s="90" t="inlineStr">
        <is>
          <t>Validate refuel attach per archetype (10/30/65/0%)</t>
        </is>
      </c>
      <c r="B59" s="90" t="inlineStr">
        <is>
          <t>Akito</t>
        </is>
      </c>
      <c r="C59" s="90" t="inlineStr">
        <is>
          <t>Same crew interviews</t>
        </is>
      </c>
    </row>
    <row r="60">
      <c r="A60" s="90" t="inlineStr">
        <is>
          <t>Validate per-tier consumption rates (40/45/54/33/60)</t>
        </is>
      </c>
      <c r="B60" s="90" t="inlineStr">
        <is>
          <t>App analytics</t>
        </is>
      </c>
      <c r="C60" s="90" t="inlineStr">
        <is>
          <t>Months 1-3 post-launch</t>
        </is>
      </c>
    </row>
    <row r="61">
      <c r="A61" s="90" t="inlineStr">
        <is>
          <t>Fix refuel attach to use per-tier rates (currently archetype-driven)</t>
        </is>
      </c>
      <c r="B61" s="90" t="inlineStr">
        <is>
          <t>Claude</t>
        </is>
      </c>
      <c r="C61" s="90" t="inlineStr">
        <is>
          <t>Next pass</t>
        </is>
      </c>
    </row>
    <row r="62">
      <c r="A62" s="90" t="inlineStr">
        <is>
          <t>Document Economy/Roster "100% consumption" model abstraction</t>
        </is>
      </c>
      <c r="B62" s="90" t="inlineStr">
        <is>
          <t>Claude</t>
        </is>
      </c>
      <c r="C62" s="90" t="inlineStr">
        <is>
          <t>Next blueprint</t>
        </is>
      </c>
    </row>
  </sheetData>
  <mergeCells count="16">
    <mergeCell ref="B53:F53"/>
    <mergeCell ref="A2:F2"/>
    <mergeCell ref="A33:F33"/>
    <mergeCell ref="B47:F47"/>
    <mergeCell ref="B48:F48"/>
    <mergeCell ref="B52:F52"/>
    <mergeCell ref="A43:F43"/>
    <mergeCell ref="A1:F1"/>
    <mergeCell ref="A5:F5"/>
    <mergeCell ref="B51:F51"/>
    <mergeCell ref="B46:F46"/>
    <mergeCell ref="A18:F18"/>
    <mergeCell ref="B50:F50"/>
    <mergeCell ref="A30:F30"/>
    <mergeCell ref="A15:F15"/>
    <mergeCell ref="B49:F4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0"/>
  <sheetViews>
    <sheetView workbookViewId="0">
      <selection activeCell="A1" sqref="A1"/>
    </sheetView>
  </sheetViews>
  <sheetFormatPr baseColWidth="8" defaultRowHeight="15"/>
  <cols>
    <col width="22" customWidth="1" min="1" max="1"/>
    <col width="13" customWidth="1" min="2" max="2"/>
    <col width="12" customWidth="1" min="3" max="3"/>
    <col width="12" customWidth="1" min="4" max="4"/>
    <col width="11" customWidth="1" min="5" max="5"/>
    <col width="11" customWidth="1" min="6" max="6"/>
    <col width="12" customWidth="1" min="7" max="7"/>
    <col width="11" customWidth="1" min="8" max="8"/>
    <col width="12" customWidth="1" min="9" max="9"/>
    <col width="11" customWidth="1" min="10" max="10"/>
    <col width="12" customWidth="1" min="11" max="11"/>
    <col width="12" customWidth="1" min="12" max="12"/>
    <col width="16" customWidth="1" min="13" max="13"/>
  </cols>
  <sheetData>
    <row r="1">
      <c r="A1" s="38" t="inlineStr">
        <is>
          <t>Tab 3 — Per-Tier Unit Economics</t>
        </is>
      </c>
    </row>
    <row r="2">
      <c r="A2" s="39" t="inlineStr">
        <is>
          <t>PURPOSE: For each tier, compute revenue, COGS, gross margin, net margin — for ONE subscriber per month. The "PER-USER" math.</t>
        </is>
      </c>
    </row>
    <row r="3">
      <c r="A3" s="39" t="inlineStr">
        <is>
          <t>Pulls prices from Tab 1 (rows 14-21), GB Consumed from Tab 2 (rows 21-27), blended wholesale from Tab 1 C31.</t>
        </is>
      </c>
    </row>
    <row r="5" ht="22" customHeight="1">
      <c r="A5" s="121" t="inlineStr">
        <is>
          <t>GROUP 1 — INPUTS</t>
        </is>
      </c>
      <c r="E5" s="122" t="inlineStr">
        <is>
          <t>GROUP 2 — eSIM MATH</t>
        </is>
      </c>
      <c r="I5" s="123" t="inlineStr">
        <is>
          <t>GROUP 3 — PROFIT MATH</t>
        </is>
      </c>
    </row>
    <row r="6" ht="38" customHeight="1">
      <c r="A6" s="124" t="inlineStr">
        <is>
          <t>Tier</t>
        </is>
      </c>
      <c r="B6" s="124" t="inlineStr">
        <is>
          <t>Monthly Revenue</t>
        </is>
      </c>
      <c r="C6" s="124" t="inlineStr">
        <is>
          <t>GB Consumed</t>
        </is>
      </c>
      <c r="D6" s="124" t="inlineStr">
        <is>
          <t>Wholesale $/GB</t>
        </is>
      </c>
      <c r="E6" s="125" t="inlineStr">
        <is>
          <t>eSIM COGS</t>
        </is>
      </c>
      <c r="F6" s="125" t="inlineStr">
        <is>
          <t>Refuel Attach %</t>
        </is>
      </c>
      <c r="G6" s="125" t="inlineStr">
        <is>
          <t>Refuel Revenue</t>
        </is>
      </c>
      <c r="H6" s="125" t="inlineStr">
        <is>
          <t>Refuel COGS</t>
        </is>
      </c>
      <c r="I6" s="126" t="inlineStr">
        <is>
          <t>Total Revenue</t>
        </is>
      </c>
      <c r="J6" s="126" t="inlineStr">
        <is>
          <t>Total COGS</t>
        </is>
      </c>
      <c r="K6" s="126" t="inlineStr">
        <is>
          <t>Gross Profit</t>
        </is>
      </c>
      <c r="L6" s="126" t="inlineStr">
        <is>
          <t>Gross Margin %</t>
        </is>
      </c>
      <c r="M6" s="126" t="inlineStr">
        <is>
          <t>Net Margin (after OPEX)</t>
        </is>
      </c>
    </row>
    <row r="7">
      <c r="A7" s="90" t="inlineStr">
        <is>
          <t>Economy (PAYG)</t>
        </is>
      </c>
      <c r="B7" s="46">
        <f>'README &amp; Assumptions'!B14</f>
        <v/>
      </c>
      <c r="C7" s="49">
        <f>'User Behavior'!D21</f>
        <v/>
      </c>
      <c r="D7" s="46">
        <f>'README &amp; Assumptions'!C31</f>
        <v/>
      </c>
      <c r="E7" s="54">
        <f>C7*D7</f>
        <v/>
      </c>
      <c r="F7" s="81" t="n">
        <v>0</v>
      </c>
      <c r="G7" s="54">
        <f>F7*'README &amp; Assumptions'!B21</f>
        <v/>
      </c>
      <c r="H7" s="54">
        <f>F7*1*D7</f>
        <v/>
      </c>
      <c r="I7" s="54">
        <f>B7+G7</f>
        <v/>
      </c>
      <c r="J7" s="54">
        <f>E7+H7</f>
        <v/>
      </c>
      <c r="K7" s="54">
        <f>I7-J7</f>
        <v/>
      </c>
      <c r="L7" s="26">
        <f>IFERROR(K7/I7,0)</f>
        <v/>
      </c>
      <c r="M7" s="26">
        <f>IFERROR((K7-'README &amp; Assumptions'!B53)/I7,0)</f>
        <v/>
      </c>
    </row>
    <row r="8">
      <c r="A8" s="90" t="inlineStr">
        <is>
          <t>Roster Bundle</t>
        </is>
      </c>
      <c r="B8" s="46">
        <f>'README &amp; Assumptions'!B15</f>
        <v/>
      </c>
      <c r="C8" s="49">
        <f>'User Behavior'!D22</f>
        <v/>
      </c>
      <c r="D8" s="46">
        <f>'README &amp; Assumptions'!C31</f>
        <v/>
      </c>
      <c r="E8" s="54">
        <f>C8*D8</f>
        <v/>
      </c>
      <c r="F8" s="81" t="n">
        <v>0.1</v>
      </c>
      <c r="G8" s="54">
        <f>F8*'README &amp; Assumptions'!B21</f>
        <v/>
      </c>
      <c r="H8" s="54">
        <f>F8*1*D8</f>
        <v/>
      </c>
      <c r="I8" s="54">
        <f>B8+G8</f>
        <v/>
      </c>
      <c r="J8" s="54">
        <f>E8+H8</f>
        <v/>
      </c>
      <c r="K8" s="54">
        <f>I8-J8</f>
        <v/>
      </c>
      <c r="L8" s="26">
        <f>IFERROR(K8/I8,0)</f>
        <v/>
      </c>
      <c r="M8" s="26">
        <f>IFERROR((K8-'README &amp; Assumptions'!B53)/I8,0)</f>
        <v/>
      </c>
    </row>
    <row r="9">
      <c r="A9" s="90" t="inlineStr">
        <is>
          <t>Premium Economy</t>
        </is>
      </c>
      <c r="B9" s="46">
        <f>'README &amp; Assumptions'!B16</f>
        <v/>
      </c>
      <c r="C9" s="49">
        <f>'User Behavior'!D23</f>
        <v/>
      </c>
      <c r="D9" s="46">
        <f>'README &amp; Assumptions'!C31</f>
        <v/>
      </c>
      <c r="E9" s="54">
        <f>C9*D9</f>
        <v/>
      </c>
      <c r="F9" s="81" t="n">
        <v>0.2</v>
      </c>
      <c r="G9" s="54">
        <f>F9*'README &amp; Assumptions'!B21</f>
        <v/>
      </c>
      <c r="H9" s="54">
        <f>F9*1*D9</f>
        <v/>
      </c>
      <c r="I9" s="54">
        <f>B9+G9</f>
        <v/>
      </c>
      <c r="J9" s="54">
        <f>E9+H9</f>
        <v/>
      </c>
      <c r="K9" s="54">
        <f>I9-J9</f>
        <v/>
      </c>
      <c r="L9" s="26">
        <f>IFERROR(K9/I9,0)</f>
        <v/>
      </c>
      <c r="M9" s="26">
        <f>IFERROR((K9-'README &amp; Assumptions'!B53)/I9,0)</f>
        <v/>
      </c>
    </row>
    <row r="10">
      <c r="A10" s="93" t="inlineStr">
        <is>
          <t>Business</t>
        </is>
      </c>
      <c r="B10" s="101">
        <f>'README &amp; Assumptions'!B17</f>
        <v/>
      </c>
      <c r="C10" s="102">
        <f>'User Behavior'!D24</f>
        <v/>
      </c>
      <c r="D10" s="101">
        <f>'README &amp; Assumptions'!C31</f>
        <v/>
      </c>
      <c r="E10" s="59">
        <f>C10*D10</f>
        <v/>
      </c>
      <c r="F10" s="103" t="n">
        <v>0.25</v>
      </c>
      <c r="G10" s="59">
        <f>F10*'README &amp; Assumptions'!B21</f>
        <v/>
      </c>
      <c r="H10" s="59">
        <f>F10*1*D10</f>
        <v/>
      </c>
      <c r="I10" s="59">
        <f>B10+G10</f>
        <v/>
      </c>
      <c r="J10" s="59">
        <f>E10+H10</f>
        <v/>
      </c>
      <c r="K10" s="59">
        <f>I10-J10</f>
        <v/>
      </c>
      <c r="L10" s="104">
        <f>IFERROR(K10/I10,0)</f>
        <v/>
      </c>
      <c r="M10" s="104">
        <f>IFERROR((K10-'README &amp; Assumptions'!B53)/I10,0)</f>
        <v/>
      </c>
    </row>
    <row r="11">
      <c r="A11" s="90" t="inlineStr">
        <is>
          <t>First</t>
        </is>
      </c>
      <c r="B11" s="46">
        <f>'README &amp; Assumptions'!B18</f>
        <v/>
      </c>
      <c r="C11" s="49">
        <f>'User Behavior'!D25</f>
        <v/>
      </c>
      <c r="D11" s="46">
        <f>'README &amp; Assumptions'!C31</f>
        <v/>
      </c>
      <c r="E11" s="54">
        <f>C11*D11</f>
        <v/>
      </c>
      <c r="F11" s="81" t="n">
        <v>0.4</v>
      </c>
      <c r="G11" s="54">
        <f>F11*'README &amp; Assumptions'!B21</f>
        <v/>
      </c>
      <c r="H11" s="54">
        <f>F11*1*D11</f>
        <v/>
      </c>
      <c r="I11" s="54">
        <f>B11+G11</f>
        <v/>
      </c>
      <c r="J11" s="54">
        <f>E11+H11</f>
        <v/>
      </c>
      <c r="K11" s="54">
        <f>I11-J11</f>
        <v/>
      </c>
      <c r="L11" s="26">
        <f>IFERROR(K11/I11,0)</f>
        <v/>
      </c>
      <c r="M11" s="26">
        <f>IFERROR((K11-'README &amp; Assumptions'!B53)/I11,0)</f>
        <v/>
      </c>
    </row>
    <row r="12">
      <c r="A12" s="90" t="inlineStr">
        <is>
          <t>First Suite</t>
        </is>
      </c>
      <c r="B12" s="46">
        <f>'README &amp; Assumptions'!B19</f>
        <v/>
      </c>
      <c r="C12" s="49">
        <f>'User Behavior'!D26</f>
        <v/>
      </c>
      <c r="D12" s="46">
        <f>'README &amp; Assumptions'!C31</f>
        <v/>
      </c>
      <c r="E12" s="54">
        <f>C12*D12</f>
        <v/>
      </c>
      <c r="F12" s="81" t="n">
        <v>0.2</v>
      </c>
      <c r="G12" s="54">
        <f>F12*'README &amp; Assumptions'!B21</f>
        <v/>
      </c>
      <c r="H12" s="54">
        <f>F12*1*D12</f>
        <v/>
      </c>
      <c r="I12" s="54">
        <f>B12+G12</f>
        <v/>
      </c>
      <c r="J12" s="54">
        <f>E12+H12</f>
        <v/>
      </c>
      <c r="K12" s="54">
        <f>I12-J12</f>
        <v/>
      </c>
      <c r="L12" s="26">
        <f>IFERROR(K12/I12,0)</f>
        <v/>
      </c>
      <c r="M12" s="26">
        <f>IFERROR((K12-'README &amp; Assumptions'!B53)/I12,0)</f>
        <v/>
      </c>
    </row>
    <row r="13">
      <c r="A13" s="90" t="inlineStr">
        <is>
          <t>Cockpit (annual)</t>
        </is>
      </c>
      <c r="B13" s="46">
        <f>'README &amp; Assumptions'!B20</f>
        <v/>
      </c>
      <c r="C13" s="49">
        <f>'User Behavior'!D27</f>
        <v/>
      </c>
      <c r="D13" s="46">
        <f>'README &amp; Assumptions'!C31</f>
        <v/>
      </c>
      <c r="E13" s="54">
        <f>C13*D13</f>
        <v/>
      </c>
      <c r="F13" s="81" t="n">
        <v>0.15</v>
      </c>
      <c r="G13" s="54">
        <f>F13*'README &amp; Assumptions'!B21</f>
        <v/>
      </c>
      <c r="H13" s="54">
        <f>F13*1*D13</f>
        <v/>
      </c>
      <c r="I13" s="54">
        <f>B13+G13</f>
        <v/>
      </c>
      <c r="J13" s="54">
        <f>E13+H13</f>
        <v/>
      </c>
      <c r="K13" s="54">
        <f>I13-J13</f>
        <v/>
      </c>
      <c r="L13" s="26">
        <f>IFERROR(K13/I13,0)</f>
        <v/>
      </c>
      <c r="M13" s="26">
        <f>IFERROR((K13-'README &amp; Assumptions'!B53)/I13,0)</f>
        <v/>
      </c>
    </row>
    <row r="15">
      <c r="A15" s="39" t="inlineStr">
        <is>
          <t>⚠ Cockpit shows MONTHLY equivalent ($24.92), not annual prepay ($299). See Cockpit Logic tab.</t>
        </is>
      </c>
    </row>
    <row r="17">
      <c r="A17" s="94" t="inlineStr">
        <is>
          <t>HOW TO READ THIS TAB</t>
        </is>
      </c>
    </row>
    <row r="18">
      <c r="A18" s="95" t="inlineStr">
        <is>
          <t>Monthly Revenue (B)</t>
        </is>
      </c>
      <c r="B18" s="90" t="inlineStr">
        <is>
          <t>What user pays us per month</t>
        </is>
      </c>
    </row>
    <row r="19">
      <c r="A19" s="95" t="inlineStr">
        <is>
          <t>GB Consumed (C)</t>
        </is>
      </c>
      <c r="B19" s="90" t="inlineStr">
        <is>
          <t>Actual GB used — per-tier rate from Tab 2</t>
        </is>
      </c>
    </row>
    <row r="20">
      <c r="A20" s="95" t="inlineStr">
        <is>
          <t>Wholesale $/GB (D)</t>
        </is>
      </c>
      <c r="B20" s="90" t="inlineStr">
        <is>
          <t>Blended supplier rate ($1.34 at 75/20/5)</t>
        </is>
      </c>
    </row>
    <row r="21">
      <c r="A21" s="95" t="inlineStr">
        <is>
          <t>eSIM COGS (E)</t>
        </is>
      </c>
      <c r="B21" s="90" t="inlineStr">
        <is>
          <t>C × D = what we owe supplier</t>
        </is>
      </c>
    </row>
    <row r="22">
      <c r="A22" s="95" t="inlineStr">
        <is>
          <t>Refuel Attach % (F)</t>
        </is>
      </c>
      <c r="B22" s="90" t="inlineStr">
        <is>
          <t>% of users who buy a top-up</t>
        </is>
      </c>
    </row>
    <row r="23">
      <c r="A23" s="95" t="inlineStr">
        <is>
          <t>Refuel Revenue / COGS (G/H)</t>
        </is>
      </c>
      <c r="B23" s="90" t="inlineStr">
        <is>
          <t>Top-up revenue + supplier cost</t>
        </is>
      </c>
    </row>
    <row r="24">
      <c r="A24" s="95" t="inlineStr">
        <is>
          <t>Total Revenue / COGS (I/J)</t>
        </is>
      </c>
      <c r="B24" s="90" t="inlineStr">
        <is>
          <t>Base + refuel combined</t>
        </is>
      </c>
    </row>
    <row r="25">
      <c r="A25" s="95" t="inlineStr">
        <is>
          <t>Gross Profit / Margin (K/L)</t>
        </is>
      </c>
      <c r="B25" s="90" t="inlineStr">
        <is>
          <t>Revenue − COGS (before opex)</t>
        </is>
      </c>
    </row>
    <row r="26">
      <c r="A26" s="95" t="inlineStr">
        <is>
          <t>Net Margin (M)</t>
        </is>
      </c>
      <c r="B26" s="90" t="inlineStr">
        <is>
          <t>After $1.80/user OPEX</t>
        </is>
      </c>
    </row>
    <row r="28">
      <c r="A28" s="94" t="inlineStr">
        <is>
          <t>SOURCES &amp; CONFIDENCE</t>
        </is>
      </c>
    </row>
    <row r="29">
      <c r="A29" s="41" t="inlineStr">
        <is>
          <t>Component</t>
        </is>
      </c>
      <c r="B29" s="41" t="inlineStr">
        <is>
          <t>Source</t>
        </is>
      </c>
      <c r="C29" s="41" t="inlineStr">
        <is>
          <t>Confidence</t>
        </is>
      </c>
    </row>
    <row r="30">
      <c r="A30" s="90" t="inlineStr">
        <is>
          <t>Retail prices</t>
        </is>
      </c>
      <c r="B30" s="90" t="inlineStr">
        <is>
          <t>Locked decisions 2026-06-01</t>
        </is>
      </c>
      <c r="C30" s="90" t="inlineStr">
        <is>
          <t>HIGH</t>
        </is>
      </c>
    </row>
    <row r="31">
      <c r="A31" s="90" t="inlineStr">
        <is>
          <t>GB Consumed</t>
        </is>
      </c>
      <c r="B31" s="90" t="inlineStr">
        <is>
          <t>Per-tier rates from Tab 2</t>
        </is>
      </c>
      <c r="C31" s="90" t="inlineStr">
        <is>
          <t>MEDIUM</t>
        </is>
      </c>
    </row>
    <row r="32">
      <c r="A32" s="90" t="inlineStr">
        <is>
          <t>Wholesale $/GB</t>
        </is>
      </c>
      <c r="B32" s="90" t="inlineStr">
        <is>
          <t>Real Samurai × 75/20/5 mix</t>
        </is>
      </c>
      <c r="C32" s="90" t="inlineStr">
        <is>
          <t>MEDIUM</t>
        </is>
      </c>
    </row>
    <row r="33">
      <c r="A33" s="90" t="inlineStr">
        <is>
          <t>Refuel attach %</t>
        </is>
      </c>
      <c r="B33" s="90" t="inlineStr">
        <is>
          <t>MY ESTIMATE per tier</t>
        </is>
      </c>
      <c r="C33" s="90" t="inlineStr">
        <is>
          <t>LOW</t>
        </is>
      </c>
    </row>
    <row r="34">
      <c r="A34" s="90" t="inlineStr">
        <is>
          <t>OPEX $1.80/user</t>
        </is>
      </c>
      <c r="B34" s="90" t="inlineStr">
        <is>
          <t>Tab 1 Section 5</t>
        </is>
      </c>
      <c r="C34" s="90" t="inlineStr">
        <is>
          <t>MEDIUM</t>
        </is>
      </c>
    </row>
    <row r="36">
      <c r="A36" s="94" t="inlineStr">
        <is>
          <t>VALIDATION QUEUE</t>
        </is>
      </c>
    </row>
    <row r="37">
      <c r="A37" s="39" t="inlineStr">
        <is>
          <t>• Per-tier refuel attach rates — validate via app analytics post-launch</t>
        </is>
      </c>
    </row>
    <row r="38">
      <c r="A38" s="39" t="inlineStr">
        <is>
          <t>• Wholesale country mix 75/20/5 — Akito to validate via crew rosters</t>
        </is>
      </c>
    </row>
    <row r="39">
      <c r="A39" s="39" t="inlineStr">
        <is>
          <t>• Per-tier consumption rates inherited from Tab 2</t>
        </is>
      </c>
    </row>
    <row r="40">
      <c r="A40" s="39" t="inlineStr">
        <is>
          <t>• Sensitivity test: what if Premium consumption is 50% instead of 40%?</t>
        </is>
      </c>
    </row>
  </sheetData>
  <mergeCells count="20">
    <mergeCell ref="A5:D5"/>
    <mergeCell ref="B23:M23"/>
    <mergeCell ref="A38:M38"/>
    <mergeCell ref="B19:M19"/>
    <mergeCell ref="A40:M40"/>
    <mergeCell ref="A39:M39"/>
    <mergeCell ref="A15:M15"/>
    <mergeCell ref="E5:H5"/>
    <mergeCell ref="B24:M24"/>
    <mergeCell ref="A1:M1"/>
    <mergeCell ref="B20:M20"/>
    <mergeCell ref="B26:M26"/>
    <mergeCell ref="I5:M5"/>
    <mergeCell ref="B25:M25"/>
    <mergeCell ref="A37:M37"/>
    <mergeCell ref="B22:M22"/>
    <mergeCell ref="A3:M3"/>
    <mergeCell ref="B18:M18"/>
    <mergeCell ref="B21:M21"/>
    <mergeCell ref="A2:M2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41"/>
  <sheetViews>
    <sheetView workbookViewId="0">
      <selection activeCell="A1" sqref="A1"/>
    </sheetView>
  </sheetViews>
  <sheetFormatPr baseColWidth="8" defaultRowHeight="15"/>
  <cols>
    <col width="22" customWidth="1" min="1" max="1"/>
    <col width="12" customWidth="1" min="2" max="2"/>
    <col width="12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2" customWidth="1" min="12" max="12"/>
    <col width="14" customWidth="1" min="13" max="13"/>
  </cols>
  <sheetData>
    <row r="1">
      <c r="A1" s="38" t="inlineStr">
        <is>
          <t>Pricing Simulator — what should we charge given Samurai wholesale costs?</t>
        </is>
      </c>
    </row>
    <row r="2">
      <c r="A2" s="39" t="inlineStr">
        <is>
          <t>Input wholesale $/GB (top yellow cells). All tiers below recalc break-even + margin-target prices.</t>
        </is>
      </c>
    </row>
    <row r="4">
      <c r="A4" s="40" t="inlineStr">
        <is>
          <t>WHOLESALE COST SCENARIOS</t>
        </is>
      </c>
    </row>
    <row r="5">
      <c r="A5" s="41" t="inlineStr">
        <is>
          <t>Scenario</t>
        </is>
      </c>
      <c r="B5" s="41" t="inlineStr">
        <is>
          <t>Blended $/GB</t>
        </is>
      </c>
      <c r="C5" s="41" t="inlineStr">
        <is>
          <t>Notes</t>
        </is>
      </c>
    </row>
    <row r="6">
      <c r="A6" t="inlineStr">
        <is>
          <t>Samurai actual (from rate sheet)</t>
        </is>
      </c>
      <c r="B6" s="42" t="n">
        <v>1.34</v>
      </c>
      <c r="C6" t="inlineStr">
        <is>
          <t>Current Samurai actual blended (75/20/5 mix). Tier-A $0.85, Tier-B $1.40, Tier-C $8.50.</t>
        </is>
      </c>
    </row>
    <row r="7">
      <c r="A7" t="inlineStr">
        <is>
          <t>Samurai target (after negotiation)</t>
        </is>
      </c>
      <c r="B7" s="42" t="n">
        <v>0.3</v>
      </c>
      <c r="C7" t="inlineStr">
        <is>
          <t>What we ask Samurai to come down to — basis for negotiation</t>
        </is>
      </c>
    </row>
    <row r="8">
      <c r="A8" t="inlineStr">
        <is>
          <t>eSIM Access direct (Tier-2, future)</t>
        </is>
      </c>
      <c r="B8" s="42" t="n">
        <v>0.2</v>
      </c>
      <c r="C8" t="inlineStr">
        <is>
          <t>True wholesale — what we get going direct at scale (5K+ activations/mo)</t>
        </is>
      </c>
    </row>
    <row r="9">
      <c r="A9" s="43" t="inlineStr">
        <is>
          <t>ACTIVE WHOLESALE COST</t>
        </is>
      </c>
      <c r="B9" s="44">
        <f>B6</f>
        <v/>
      </c>
      <c r="C9" s="39" t="inlineStr">
        <is>
          <t>← change formula to =B7 or =B8 to test other scenarios</t>
        </is>
      </c>
    </row>
    <row r="11">
      <c r="A11" s="40" t="inlineStr">
        <is>
          <t>USER BEHAVIOR INPUTS (from Tab 2)</t>
        </is>
      </c>
    </row>
    <row r="12">
      <c r="A12" t="inlineStr">
        <is>
          <t>% Pool consumed (weighted)</t>
        </is>
      </c>
      <c r="B12" s="45">
        <f>'User Behavior'!C13</f>
        <v/>
      </c>
    </row>
    <row r="13">
      <c r="A13" t="inlineStr">
        <is>
          <t>% Refuel attach (weighted)</t>
        </is>
      </c>
      <c r="B13" s="45">
        <f>'User Behavior'!D14</f>
        <v/>
      </c>
    </row>
    <row r="14">
      <c r="A14" t="inlineStr">
        <is>
          <t>Refuel price (per 1GB top-up)</t>
        </is>
      </c>
      <c r="B14" s="46">
        <f>'README &amp; Assumptions'!B21</f>
        <v/>
      </c>
    </row>
    <row r="16">
      <c r="A16" s="40" t="inlineStr">
        <is>
          <t>PER-TIER PRICING MATRIX</t>
        </is>
      </c>
    </row>
    <row r="17" ht="38" customHeight="1">
      <c r="A17" s="47" t="inlineStr">
        <is>
          <t>Tier</t>
        </is>
      </c>
      <c r="B17" s="47" t="inlineStr">
        <is>
          <t>Pool GB</t>
        </is>
      </c>
      <c r="C17" s="47" t="inlineStr">
        <is>
          <t>GB Used
(consumed)</t>
        </is>
      </c>
      <c r="D17" s="47" t="inlineStr">
        <is>
          <t>Wholesale
COGS/user</t>
        </is>
      </c>
      <c r="E17" s="47" t="inlineStr">
        <is>
          <t>Refuel
revenue</t>
        </is>
      </c>
      <c r="F17" s="47" t="inlineStr">
        <is>
          <t>Refuel
COGS</t>
        </is>
      </c>
      <c r="G17" s="47" t="inlineStr">
        <is>
          <t>NET COGS
per user</t>
        </is>
      </c>
      <c r="H17" s="47" t="inlineStr">
        <is>
          <t>Break-even
price</t>
        </is>
      </c>
      <c r="I17" s="47" t="inlineStr">
        <is>
          <t>30% margin
price</t>
        </is>
      </c>
      <c r="J17" s="47" t="inlineStr">
        <is>
          <t>50% margin
price</t>
        </is>
      </c>
      <c r="K17" s="47" t="inlineStr">
        <is>
          <t>70% margin
price</t>
        </is>
      </c>
      <c r="L17" s="47" t="inlineStr">
        <is>
          <t>Current
retail</t>
        </is>
      </c>
      <c r="M17" s="47" t="inlineStr">
        <is>
          <t>Current
margin %</t>
        </is>
      </c>
    </row>
    <row r="18">
      <c r="A18" s="48" t="inlineStr">
        <is>
          <t>Economy (PAYG)</t>
        </is>
      </c>
      <c r="B18" s="49">
        <f>'README &amp; Assumptions'!D14</f>
        <v/>
      </c>
      <c r="C18" s="50">
        <f>B18</f>
        <v/>
      </c>
      <c r="D18" s="51">
        <f>C18*$B$9</f>
        <v/>
      </c>
      <c r="E18" s="51" t="n">
        <v>0</v>
      </c>
      <c r="F18" s="51" t="n">
        <v>0</v>
      </c>
      <c r="G18" s="51">
        <f>D18+F18-E18</f>
        <v/>
      </c>
      <c r="H18" s="51">
        <f>G18</f>
        <v/>
      </c>
      <c r="I18" s="51">
        <f>G18/0.7</f>
        <v/>
      </c>
      <c r="J18" s="51">
        <f>G18/0.5</f>
        <v/>
      </c>
      <c r="K18" s="51">
        <f>G18/0.3</f>
        <v/>
      </c>
      <c r="L18" s="46">
        <f>'README &amp; Assumptions'!B14</f>
        <v/>
      </c>
      <c r="M18" s="52">
        <f>IFERROR((L18-G18)/L18,0)</f>
        <v/>
      </c>
    </row>
    <row r="19">
      <c r="A19" s="48" t="inlineStr">
        <is>
          <t>Roster Bundle</t>
        </is>
      </c>
      <c r="B19" s="49">
        <f>'README &amp; Assumptions'!D15</f>
        <v/>
      </c>
      <c r="C19" s="50">
        <f>B19*$B$12</f>
        <v/>
      </c>
      <c r="D19" s="51">
        <f>C19*$B$9</f>
        <v/>
      </c>
      <c r="E19" s="51">
        <f>$B$13*$B$14</f>
        <v/>
      </c>
      <c r="F19" s="51">
        <f>$B$13*1*$B$9</f>
        <v/>
      </c>
      <c r="G19" s="51">
        <f>D19+F19-E19</f>
        <v/>
      </c>
      <c r="H19" s="51">
        <f>G19</f>
        <v/>
      </c>
      <c r="I19" s="51">
        <f>G19/0.7</f>
        <v/>
      </c>
      <c r="J19" s="51">
        <f>G19/0.5</f>
        <v/>
      </c>
      <c r="K19" s="51">
        <f>G19/0.3</f>
        <v/>
      </c>
      <c r="L19" s="46">
        <f>'README &amp; Assumptions'!B15</f>
        <v/>
      </c>
      <c r="M19" s="52">
        <f>IFERROR((L19-G19)/L19,0)</f>
        <v/>
      </c>
    </row>
    <row r="20">
      <c r="A20" s="48" t="inlineStr">
        <is>
          <t>Premium Economy</t>
        </is>
      </c>
      <c r="B20" s="49">
        <f>'README &amp; Assumptions'!D16</f>
        <v/>
      </c>
      <c r="C20" s="50">
        <f>B20*$B$12</f>
        <v/>
      </c>
      <c r="D20" s="51">
        <f>C20*$B$9</f>
        <v/>
      </c>
      <c r="E20" s="51">
        <f>$B$13*$B$14</f>
        <v/>
      </c>
      <c r="F20" s="51">
        <f>$B$13*1*$B$9</f>
        <v/>
      </c>
      <c r="G20" s="51">
        <f>D20+F20-E20</f>
        <v/>
      </c>
      <c r="H20" s="51">
        <f>G20</f>
        <v/>
      </c>
      <c r="I20" s="51">
        <f>G20/0.7</f>
        <v/>
      </c>
      <c r="J20" s="51">
        <f>G20/0.5</f>
        <v/>
      </c>
      <c r="K20" s="51">
        <f>G20/0.3</f>
        <v/>
      </c>
      <c r="L20" s="46">
        <f>'README &amp; Assumptions'!B16</f>
        <v/>
      </c>
      <c r="M20" s="52">
        <f>IFERROR((L20-G20)/L20,0)</f>
        <v/>
      </c>
    </row>
    <row r="21">
      <c r="A21" s="48" t="inlineStr">
        <is>
          <t>Business</t>
        </is>
      </c>
      <c r="B21" s="49">
        <f>'README &amp; Assumptions'!D17</f>
        <v/>
      </c>
      <c r="C21" s="50">
        <f>B21*$B$12</f>
        <v/>
      </c>
      <c r="D21" s="51">
        <f>C21*$B$9</f>
        <v/>
      </c>
      <c r="E21" s="51">
        <f>$B$13*$B$14</f>
        <v/>
      </c>
      <c r="F21" s="51">
        <f>$B$13*1*$B$9</f>
        <v/>
      </c>
      <c r="G21" s="51">
        <f>D21+F21-E21</f>
        <v/>
      </c>
      <c r="H21" s="51">
        <f>G21</f>
        <v/>
      </c>
      <c r="I21" s="51">
        <f>G21/0.7</f>
        <v/>
      </c>
      <c r="J21" s="51">
        <f>G21/0.5</f>
        <v/>
      </c>
      <c r="K21" s="51">
        <f>G21/0.3</f>
        <v/>
      </c>
      <c r="L21" s="46">
        <f>'README &amp; Assumptions'!B17</f>
        <v/>
      </c>
      <c r="M21" s="52">
        <f>IFERROR((L21-G21)/L21,0)</f>
        <v/>
      </c>
    </row>
    <row r="22">
      <c r="A22" s="48" t="inlineStr">
        <is>
          <t>First</t>
        </is>
      </c>
      <c r="B22" s="49">
        <f>'README &amp; Assumptions'!D18</f>
        <v/>
      </c>
      <c r="C22" s="50">
        <f>B22*$B$12</f>
        <v/>
      </c>
      <c r="D22" s="51">
        <f>C22*$B$9</f>
        <v/>
      </c>
      <c r="E22" s="51">
        <f>$B$13*$B$14</f>
        <v/>
      </c>
      <c r="F22" s="51">
        <f>$B$13*1*$B$9</f>
        <v/>
      </c>
      <c r="G22" s="51">
        <f>D22+F22-E22</f>
        <v/>
      </c>
      <c r="H22" s="51">
        <f>G22</f>
        <v/>
      </c>
      <c r="I22" s="51">
        <f>G22/0.7</f>
        <v/>
      </c>
      <c r="J22" s="51">
        <f>G22/0.5</f>
        <v/>
      </c>
      <c r="K22" s="51">
        <f>G22/0.3</f>
        <v/>
      </c>
      <c r="L22" s="46">
        <f>'README &amp; Assumptions'!B18</f>
        <v/>
      </c>
      <c r="M22" s="52">
        <f>IFERROR((L22-G22)/L22,0)</f>
        <v/>
      </c>
    </row>
    <row r="23">
      <c r="A23" s="48" t="inlineStr">
        <is>
          <t>First Suite</t>
        </is>
      </c>
      <c r="B23" s="49">
        <f>'README &amp; Assumptions'!D19</f>
        <v/>
      </c>
      <c r="C23" s="50">
        <f>B23*$B$12</f>
        <v/>
      </c>
      <c r="D23" s="51">
        <f>C23*$B$9</f>
        <v/>
      </c>
      <c r="E23" s="51">
        <f>$B$13*$B$14</f>
        <v/>
      </c>
      <c r="F23" s="51">
        <f>$B$13*1*$B$9</f>
        <v/>
      </c>
      <c r="G23" s="51">
        <f>D23+F23-E23</f>
        <v/>
      </c>
      <c r="H23" s="51">
        <f>G23</f>
        <v/>
      </c>
      <c r="I23" s="51">
        <f>G23/0.7</f>
        <v/>
      </c>
      <c r="J23" s="51">
        <f>G23/0.5</f>
        <v/>
      </c>
      <c r="K23" s="51">
        <f>G23/0.3</f>
        <v/>
      </c>
      <c r="L23" s="46">
        <f>'README &amp; Assumptions'!B19</f>
        <v/>
      </c>
      <c r="M23" s="52">
        <f>IFERROR((L23-G23)/L23,0)</f>
        <v/>
      </c>
    </row>
    <row r="24">
      <c r="A24" t="inlineStr">
        <is>
          <t>Cockpit</t>
        </is>
      </c>
      <c r="B24">
        <f>'README &amp; Assumptions'!D20</f>
        <v/>
      </c>
      <c r="C24">
        <f>B24*$B$12</f>
        <v/>
      </c>
      <c r="D24">
        <f>C24*$B$9</f>
        <v/>
      </c>
      <c r="E24">
        <f>$B$13*$B$14</f>
        <v/>
      </c>
      <c r="F24">
        <f>$B$13*1*$B$9</f>
        <v/>
      </c>
      <c r="G24">
        <f>D24+F24-E24</f>
        <v/>
      </c>
      <c r="H24">
        <f>G24</f>
        <v/>
      </c>
      <c r="I24">
        <f>G24/0.7</f>
        <v/>
      </c>
      <c r="J24">
        <f>G24/0.5</f>
        <v/>
      </c>
      <c r="K24">
        <f>G24/0.3</f>
        <v/>
      </c>
      <c r="L24">
        <f>'README &amp; Assumptions'!B20</f>
        <v/>
      </c>
      <c r="M24">
        <f>IFERROR((L24-G24)/L24,0)</f>
        <v/>
      </c>
    </row>
    <row r="26">
      <c r="A26" s="40" t="inlineStr">
        <is>
          <t>NEGOTIATION SUMMARY</t>
        </is>
      </c>
    </row>
    <row r="27">
      <c r="A27" s="41" t="inlineStr">
        <is>
          <t>Tier</t>
        </is>
      </c>
      <c r="B27" s="41" t="inlineStr">
        <is>
          <t>Current retail</t>
        </is>
      </c>
      <c r="C27" s="41" t="inlineStr">
        <is>
          <t>COGS @ Samurai actual</t>
        </is>
      </c>
      <c r="D27" s="41" t="inlineStr">
        <is>
          <t>COGS @ Samurai target</t>
        </is>
      </c>
      <c r="E27" s="41" t="inlineStr">
        <is>
          <t>Savings/user</t>
        </is>
      </c>
      <c r="F27" s="41" t="inlineStr">
        <is>
          <t>At 10K users</t>
        </is>
      </c>
    </row>
    <row r="28">
      <c r="A28" s="48" t="inlineStr">
        <is>
          <t>Economy (PAYG)</t>
        </is>
      </c>
      <c r="B28" s="46">
        <f>'README &amp; Assumptions'!B14</f>
        <v/>
      </c>
      <c r="C28" s="51">
        <f>B18*$B$6</f>
        <v/>
      </c>
      <c r="D28" s="51">
        <f>B18*$B$7</f>
        <v/>
      </c>
      <c r="E28" s="51">
        <f>C28-D28</f>
        <v/>
      </c>
      <c r="F28" s="51">
        <f>E28*10000</f>
        <v/>
      </c>
    </row>
    <row r="29">
      <c r="A29" s="48" t="inlineStr">
        <is>
          <t>Roster Bundle</t>
        </is>
      </c>
      <c r="B29" s="46">
        <f>'README &amp; Assumptions'!B15</f>
        <v/>
      </c>
      <c r="C29" s="51">
        <f>C19*$B$6+$B$13*1*$B$6-$B$13*$B$14</f>
        <v/>
      </c>
      <c r="D29" s="51">
        <f>C19*$B$7+$B$13*1*$B$7-$B$13*$B$14</f>
        <v/>
      </c>
      <c r="E29" s="51">
        <f>C29-D29</f>
        <v/>
      </c>
      <c r="F29" s="51">
        <f>E29*10000</f>
        <v/>
      </c>
    </row>
    <row r="30">
      <c r="A30" s="48" t="inlineStr">
        <is>
          <t>Premium Economy</t>
        </is>
      </c>
      <c r="B30" s="46">
        <f>'README &amp; Assumptions'!B16</f>
        <v/>
      </c>
      <c r="C30" s="51">
        <f>C20*$B$6+$B$13*1*$B$6-$B$13*$B$14</f>
        <v/>
      </c>
      <c r="D30" s="51">
        <f>C20*$B$7+$B$13*1*$B$7-$B$13*$B$14</f>
        <v/>
      </c>
      <c r="E30" s="51">
        <f>C30-D30</f>
        <v/>
      </c>
      <c r="F30" s="51">
        <f>E30*10000</f>
        <v/>
      </c>
    </row>
    <row r="31">
      <c r="A31" s="48" t="inlineStr">
        <is>
          <t>Business</t>
        </is>
      </c>
      <c r="B31" s="46">
        <f>'README &amp; Assumptions'!B17</f>
        <v/>
      </c>
      <c r="C31" s="51">
        <f>C21*$B$6+$B$13*1*$B$6-$B$13*$B$14</f>
        <v/>
      </c>
      <c r="D31" s="51">
        <f>C21*$B$7+$B$13*1*$B$7-$B$13*$B$14</f>
        <v/>
      </c>
      <c r="E31" s="51">
        <f>C31-D31</f>
        <v/>
      </c>
      <c r="F31" s="51">
        <f>E31*10000</f>
        <v/>
      </c>
    </row>
    <row r="32">
      <c r="A32" s="48" t="inlineStr">
        <is>
          <t>First</t>
        </is>
      </c>
      <c r="B32" s="46">
        <f>'README &amp; Assumptions'!B18</f>
        <v/>
      </c>
      <c r="C32" s="51">
        <f>C22*$B$6+$B$13*1*$B$6-$B$13*$B$14</f>
        <v/>
      </c>
      <c r="D32" s="51">
        <f>C22*$B$7+$B$13*1*$B$7-$B$13*$B$14</f>
        <v/>
      </c>
      <c r="E32" s="51">
        <f>C32-D32</f>
        <v/>
      </c>
      <c r="F32" s="51">
        <f>E32*10000</f>
        <v/>
      </c>
    </row>
    <row r="33">
      <c r="A33" s="48" t="inlineStr">
        <is>
          <t>First Suite</t>
        </is>
      </c>
      <c r="B33" s="46">
        <f>'README &amp; Assumptions'!B19</f>
        <v/>
      </c>
      <c r="C33" s="51">
        <f>C23*$B$6+$B$13*1*$B$6-$B$13*$B$14</f>
        <v/>
      </c>
      <c r="D33" s="51">
        <f>C23*$B$7+$B$13*1*$B$7-$B$13*$B$14</f>
        <v/>
      </c>
      <c r="E33" s="51">
        <f>C33-D33</f>
        <v/>
      </c>
      <c r="F33" s="51">
        <f>E33*10000</f>
        <v/>
      </c>
    </row>
    <row r="34">
      <c r="A34" t="inlineStr">
        <is>
          <t>Cockpit</t>
        </is>
      </c>
      <c r="B34">
        <f>'README &amp; Assumptions'!B20</f>
        <v/>
      </c>
      <c r="C34">
        <f>C24*$B$6+$B$13*1*$B$6-$B$13*$B$14</f>
        <v/>
      </c>
      <c r="D34">
        <f>C24*$B$7+$B$13*1*$B$7-$B$13*$B$14</f>
        <v/>
      </c>
      <c r="E34">
        <f>C34-D34</f>
        <v/>
      </c>
      <c r="F34">
        <f>E34*10000</f>
        <v/>
      </c>
    </row>
    <row r="35">
      <c r="A35" s="43" t="inlineStr">
        <is>
          <t>How to use this tab</t>
        </is>
      </c>
    </row>
    <row r="36">
      <c r="A36" s="39" t="inlineStr">
        <is>
          <t>1. Yellow cells (B6, B7, B8) = your wholesale assumptions. Change to update everything below.</t>
        </is>
      </c>
    </row>
    <row r="37">
      <c r="A37" s="39" t="inlineStr">
        <is>
          <t>2. The "ACTIVE WHOLESALE" (B9) is a formula — change "=B6" to "=B7" to model the negotiation target, "=B8" for direct.</t>
        </is>
      </c>
    </row>
    <row r="38">
      <c r="A38" s="39" t="inlineStr">
        <is>
          <t>3. Behavior inputs (B12:B14) pull from Tab 2 (User Behavior) and README. Change those tabs → this updates.</t>
        </is>
      </c>
    </row>
    <row r="39">
      <c r="A39" s="39" t="inlineStr">
        <is>
          <t>4. Tier matrix: break-even / 30% / 50% / 70% margin show what you NEED to charge at each cost basis.</t>
        </is>
      </c>
    </row>
    <row r="40">
      <c r="A40" s="39" t="inlineStr">
        <is>
          <t>5. Negotiation summary at bottom: if you push wholesale from $1.34 to $0.30/GB, here is the per-user savings × 10K users.</t>
        </is>
      </c>
    </row>
    <row r="41">
      <c r="A41" s="39" t="inlineStr">
        <is>
          <t>6. Compare "Current retail" (col L) vs "50% margin price" (col J). If current &lt; 50%-margin → you are underpricing.</t>
        </is>
      </c>
    </row>
  </sheetData>
  <mergeCells count="8">
    <mergeCell ref="A39:H39"/>
    <mergeCell ref="A38:H38"/>
    <mergeCell ref="A2:H2"/>
    <mergeCell ref="A41:H41"/>
    <mergeCell ref="A36:H36"/>
    <mergeCell ref="A1:H1"/>
    <mergeCell ref="A37:H37"/>
    <mergeCell ref="A40:H4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D71921"/>
    <outlinePr summaryBelow="1" summaryRight="1"/>
    <pageSetUpPr/>
  </sheetPr>
  <dimension ref="A1:F8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5" customWidth="1" min="3" max="3"/>
    <col width="15" customWidth="1" min="4" max="4"/>
    <col width="15" customWidth="1" min="5" max="5"/>
    <col width="35" customWidth="1" min="6" max="6"/>
  </cols>
  <sheetData>
    <row r="1">
      <c r="A1" s="53" t="inlineStr">
        <is>
          <t>Economy Plan — math &amp; logic deep dive</t>
        </is>
      </c>
    </row>
    <row r="2">
      <c r="A2" s="39" t="inlineStr">
        <is>
          <t>PAYG top-up product. No subscription. Built for crew who refuse monthly bills + as a price anchor for subscription tiers.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48" t="inlineStr">
        <is>
          <t>Economy — pay-per-trip top-up</t>
        </is>
      </c>
    </row>
    <row r="6">
      <c r="A6" s="43" t="inlineStr">
        <is>
          <t>Price per top-up</t>
        </is>
      </c>
      <c r="B6" s="48" t="inlineStr">
        <is>
          <t>$4.99</t>
        </is>
      </c>
    </row>
    <row r="7">
      <c r="A7" s="43" t="inlineStr">
        <is>
          <t>Data per top-up</t>
        </is>
      </c>
      <c r="B7" s="48" t="inlineStr">
        <is>
          <t>1 GB</t>
        </is>
      </c>
    </row>
    <row r="8">
      <c r="A8" s="43" t="inlineStr">
        <is>
          <t>Validity per top-up</t>
        </is>
      </c>
      <c r="B8" s="48" t="inlineStr">
        <is>
          <t>1-3 days (crew layover window)</t>
        </is>
      </c>
    </row>
    <row r="9">
      <c r="A9" s="43" t="inlineStr">
        <is>
          <t>Subscription?</t>
        </is>
      </c>
      <c r="B9" s="48" t="inlineStr">
        <is>
          <t>NO — single purchase, no recurring charge</t>
        </is>
      </c>
    </row>
    <row r="10">
      <c r="A10" s="43" t="inlineStr">
        <is>
          <t>Coverage (v1)</t>
        </is>
      </c>
      <c r="B10" s="48" t="inlineStr">
        <is>
          <t>Flat worldwide — all Samurai eSIM countries</t>
        </is>
      </c>
    </row>
    <row r="11">
      <c r="A11" s="43" t="inlineStr">
        <is>
          <t>Carryover</t>
        </is>
      </c>
      <c r="B11" s="48" t="inlineStr">
        <is>
          <t>None — unused data expires with the top-up</t>
        </is>
      </c>
    </row>
    <row r="12">
      <c r="A12" s="43" t="inlineStr">
        <is>
          <t>Refuel logic</t>
        </is>
      </c>
      <c r="B12" s="48" t="inlineStr">
        <is>
          <t>User just buys another $4.99 top-up</t>
        </is>
      </c>
    </row>
    <row r="14">
      <c r="A14" s="40" t="inlineStr">
        <is>
          <t>2. WHOLESALE COST FLOOR (Samurai actual rate sheet)</t>
        </is>
      </c>
    </row>
    <row r="15">
      <c r="A15" s="41" t="inlineStr">
        <is>
          <t>Country</t>
        </is>
      </c>
      <c r="B15" s="41" t="inlineStr">
        <is>
          <t>1-day cost</t>
        </is>
      </c>
      <c r="C15" s="41" t="inlineStr">
        <is>
          <t>2-day cost</t>
        </is>
      </c>
      <c r="D15" s="41" t="inlineStr">
        <is>
          <t>3-day cost</t>
        </is>
      </c>
      <c r="E15" s="41" t="inlineStr">
        <is>
          <t>Avg 1-3 day</t>
        </is>
      </c>
      <c r="F15" s="41" t="inlineStr">
        <is>
          <t>Margin @ $4.99</t>
        </is>
      </c>
    </row>
    <row r="16">
      <c r="A16" s="48" t="inlineStr">
        <is>
          <t>Hong Kong</t>
        </is>
      </c>
      <c r="B16" s="54" t="n">
        <v>0.5600000000000001</v>
      </c>
      <c r="C16" s="54" t="n">
        <v>0.76</v>
      </c>
      <c r="D16" s="54" t="n">
        <v>0.97</v>
      </c>
      <c r="E16" s="55" t="n">
        <v>0.7633333333333333</v>
      </c>
      <c r="F16" s="56" t="n">
        <v>0.8470273881095524</v>
      </c>
    </row>
    <row r="17">
      <c r="A17" s="48" t="inlineStr">
        <is>
          <t>Korea</t>
        </is>
      </c>
      <c r="B17" s="54" t="n">
        <v>0.5600000000000001</v>
      </c>
      <c r="C17" s="54" t="n">
        <v>0.76</v>
      </c>
      <c r="D17" s="54" t="n">
        <v>0.97</v>
      </c>
      <c r="E17" s="55" t="n">
        <v>0.7633333333333333</v>
      </c>
      <c r="F17" s="56" t="n">
        <v>0.8470273881095524</v>
      </c>
    </row>
    <row r="18">
      <c r="A18" s="48" t="inlineStr">
        <is>
          <t>Singapore</t>
        </is>
      </c>
      <c r="B18" s="54" t="n">
        <v>0.5600000000000001</v>
      </c>
      <c r="C18" s="54" t="n">
        <v>0.83</v>
      </c>
      <c r="D18" s="54" t="n">
        <v>1.11</v>
      </c>
      <c r="E18" s="55" t="n">
        <v>0.8333333333333334</v>
      </c>
      <c r="F18" s="56" t="n">
        <v>0.832999331997328</v>
      </c>
    </row>
    <row r="19">
      <c r="A19" s="48" t="inlineStr">
        <is>
          <t>USA</t>
        </is>
      </c>
      <c r="B19" s="54" t="n">
        <v>0.58</v>
      </c>
      <c r="C19" s="54" t="n">
        <v>0.76</v>
      </c>
      <c r="D19" s="54" t="n">
        <v>1.11</v>
      </c>
      <c r="E19" s="55" t="n">
        <v>0.8166666666666668</v>
      </c>
      <c r="F19" s="56" t="n">
        <v>0.8363393453573815</v>
      </c>
    </row>
    <row r="20">
      <c r="A20" s="48" t="inlineStr">
        <is>
          <t>Japan</t>
        </is>
      </c>
      <c r="B20" s="54" t="n">
        <v>0.5600000000000001</v>
      </c>
      <c r="C20" s="54" t="n">
        <v>0.9</v>
      </c>
      <c r="D20" s="54" t="n">
        <v>1.25</v>
      </c>
      <c r="E20" s="55" t="n">
        <v>0.9033333333333333</v>
      </c>
      <c r="F20" s="56" t="n">
        <v>0.8189712758851035</v>
      </c>
    </row>
    <row r="21">
      <c r="A21" s="48" t="inlineStr">
        <is>
          <t>Australia</t>
        </is>
      </c>
      <c r="B21" s="54" t="n">
        <v>0.6899999999999999</v>
      </c>
      <c r="C21" s="54" t="n">
        <v>1.04</v>
      </c>
      <c r="D21" s="54" t="n">
        <v>1.39</v>
      </c>
      <c r="E21" s="55" t="n">
        <v>1.04</v>
      </c>
      <c r="F21" s="56" t="n">
        <v>0.7915831663326653</v>
      </c>
    </row>
    <row r="22">
      <c r="A22" s="48" t="inlineStr">
        <is>
          <t>UK</t>
        </is>
      </c>
      <c r="B22" s="54" t="n">
        <v>1.04</v>
      </c>
      <c r="C22" s="54" t="n">
        <v>1.25</v>
      </c>
      <c r="D22" s="54" t="n">
        <v>1.25</v>
      </c>
      <c r="E22" s="55" t="n">
        <v>1.18</v>
      </c>
      <c r="F22" s="56" t="n">
        <v>0.7635270541082165</v>
      </c>
    </row>
    <row r="23">
      <c r="A23" s="48" t="inlineStr">
        <is>
          <t>UAE</t>
        </is>
      </c>
      <c r="B23" s="54" t="n">
        <v>1.74</v>
      </c>
      <c r="C23" s="54" t="n">
        <v>2.36</v>
      </c>
      <c r="D23" s="54" t="n">
        <v>2.36</v>
      </c>
      <c r="E23" s="55" t="n">
        <v>2.153333333333333</v>
      </c>
      <c r="F23" s="57" t="n">
        <v>0.5684702738810956</v>
      </c>
    </row>
    <row r="24">
      <c r="A24" s="48" t="inlineStr">
        <is>
          <t>India</t>
        </is>
      </c>
      <c r="B24" s="54" t="n">
        <v>3.54</v>
      </c>
      <c r="C24" s="54" t="n">
        <v>5.21</v>
      </c>
      <c r="D24" s="54" t="n">
        <v>7.36</v>
      </c>
      <c r="E24" s="55" t="n">
        <v>5.37</v>
      </c>
      <c r="F24" s="58" t="n">
        <v>-0.07615230460921842</v>
      </c>
    </row>
    <row r="25">
      <c r="A25" s="48" t="inlineStr">
        <is>
          <t>Brazil</t>
        </is>
      </c>
      <c r="B25" s="54" t="n">
        <v>3.67</v>
      </c>
      <c r="C25" s="54" t="n">
        <v>6.43</v>
      </c>
      <c r="D25" s="54" t="n">
        <v>9.19</v>
      </c>
      <c r="E25" s="55" t="n">
        <v>6.43</v>
      </c>
      <c r="F25" s="58" t="n">
        <v>-0.2885771543086171</v>
      </c>
    </row>
    <row r="26">
      <c r="A26" s="48" t="inlineStr">
        <is>
          <t>South Africa</t>
        </is>
      </c>
      <c r="B26" s="54" t="n">
        <v>5.46</v>
      </c>
      <c r="C26" s="54" t="n">
        <v>10</v>
      </c>
      <c r="D26" s="54" t="n">
        <v>14.56</v>
      </c>
      <c r="E26" s="55" t="n">
        <v>10.00666666666667</v>
      </c>
      <c r="F26" s="58" t="n">
        <v>-1.005344021376086</v>
      </c>
    </row>
    <row r="29">
      <c r="A29" s="40" t="inlineStr">
        <is>
          <t>3. MARGIN MATH AT $4.99 RETAIL</t>
        </is>
      </c>
    </row>
    <row r="30">
      <c r="A30" s="41" t="inlineStr">
        <is>
          <t>Scenario</t>
        </is>
      </c>
      <c r="B30" s="41" t="inlineStr">
        <is>
          <t>Avg cost</t>
        </is>
      </c>
      <c r="C30" s="41" t="inlineStr">
        <is>
          <t>Retail</t>
        </is>
      </c>
      <c r="D30" s="41" t="inlineStr">
        <is>
          <t>Gross profit</t>
        </is>
      </c>
      <c r="E30" s="41" t="inlineStr">
        <is>
          <t>Margin %</t>
        </is>
      </c>
      <c r="F30" s="41" t="inlineStr">
        <is>
          <t>Notes</t>
        </is>
      </c>
    </row>
    <row r="31">
      <c r="A31" s="48" t="inlineStr">
        <is>
          <t>BEST (HK/Korea 1-day)</t>
        </is>
      </c>
      <c r="B31" s="59" t="n">
        <v>0.5600000000000001</v>
      </c>
      <c r="C31" s="59" t="n">
        <v>4.99</v>
      </c>
      <c r="D31" s="60" t="n">
        <v>4.43</v>
      </c>
      <c r="E31" s="56" t="n">
        <v>0.8877755511022043</v>
      </c>
      <c r="F31" s="39" t="inlineStr">
        <is>
          <t>Asia layovers — bulk of crew routes</t>
        </is>
      </c>
    </row>
    <row r="32">
      <c r="A32" s="48" t="inlineStr">
        <is>
          <t>TYPICAL (USA/Japan/SG 2-3 day)</t>
        </is>
      </c>
      <c r="B32" s="59" t="n">
        <v>1</v>
      </c>
      <c r="C32" s="59" t="n">
        <v>4.99</v>
      </c>
      <c r="D32" s="60" t="n">
        <v>3.99</v>
      </c>
      <c r="E32" s="56" t="n">
        <v>0.7995991983967936</v>
      </c>
      <c r="F32" s="39" t="inlineStr">
        <is>
          <t>60% of crew trips</t>
        </is>
      </c>
    </row>
    <row r="33">
      <c r="A33" s="48" t="inlineStr">
        <is>
          <t>AVG (Europe/AU/UAE)</t>
        </is>
      </c>
      <c r="B33" s="54" t="n">
        <v>1.5</v>
      </c>
      <c r="C33" s="54" t="n">
        <v>4.99</v>
      </c>
      <c r="D33" s="61" t="n">
        <v>3.49</v>
      </c>
      <c r="E33" s="57" t="n">
        <v>0.6993987975951904</v>
      </c>
      <c r="F33" s="39" t="inlineStr">
        <is>
          <t>25% of crew trips</t>
        </is>
      </c>
    </row>
    <row r="34">
      <c r="A34" s="48" t="inlineStr">
        <is>
          <t>PAIN (India 2-3 day)</t>
        </is>
      </c>
      <c r="B34" s="62" t="n">
        <v>6.3</v>
      </c>
      <c r="C34" s="62" t="n">
        <v>4.99</v>
      </c>
      <c r="D34" s="63" t="n">
        <v>-1.31</v>
      </c>
      <c r="E34" s="58" t="n">
        <v>-0.2625250501002003</v>
      </c>
      <c r="F34" s="39" t="inlineStr">
        <is>
          <t>~5% of crew trips — losing money</t>
        </is>
      </c>
    </row>
    <row r="35">
      <c r="A35" s="48" t="inlineStr">
        <is>
          <t>WORST (South Africa 3-day)</t>
        </is>
      </c>
      <c r="B35" s="62" t="n">
        <v>14.56</v>
      </c>
      <c r="C35" s="62" t="n">
        <v>4.99</v>
      </c>
      <c r="D35" s="63" t="n">
        <v>-9.57</v>
      </c>
      <c r="E35" s="58" t="n">
        <v>-1.917835671342685</v>
      </c>
      <c r="F35" s="39" t="inlineStr">
        <is>
          <t>&lt;2% of crew trips — heavy loss</t>
        </is>
      </c>
    </row>
    <row r="38">
      <c r="A38" s="40" t="inlineStr">
        <is>
          <t>4. STRATEGIC LOGIC — WHY $4.99 (FIVE LAYERS)</t>
        </is>
      </c>
    </row>
    <row r="39">
      <c r="A39" s="43" t="inlineStr">
        <is>
          <t>Layer 1 — Cost floor</t>
        </is>
      </c>
      <c r="B39" s="64" t="inlineStr">
        <is>
          <t>Avg cost is $0.85-1.50 for 70% of crew routes. $4.99 retail = 75-85% margin. Huge cushion.</t>
        </is>
      </c>
    </row>
    <row r="40">
      <c r="A40" s="43" t="inlineStr">
        <is>
          <t>Layer 2 — Market middle</t>
        </is>
      </c>
      <c r="B40" s="64" t="inlineStr">
        <is>
          <t>Airalo $4.50, Roamless $4.00, Crew SIM $3-7. We sit fair-middle, not discount.</t>
        </is>
      </c>
    </row>
    <row r="41">
      <c r="A41" s="43" t="inlineStr">
        <is>
          <t>Layer 3 — Psychological</t>
        </is>
      </c>
      <c r="B41" s="64" t="inlineStr">
        <is>
          <t>Under-$5 = impulse purchase zone. $5.99 = considered purchase zone.</t>
        </is>
      </c>
    </row>
    <row r="42">
      <c r="A42" s="43" t="inlineStr">
        <is>
          <t>Layer 4 — Upsell anchor</t>
        </is>
      </c>
      <c r="B42" s="64" t="inlineStr">
        <is>
          <t>$4.99 × 3 top-ups = $14.97 &gt; Premium Economy $12.99 for 10 GB. Drives subscription conversion.</t>
        </is>
      </c>
    </row>
    <row r="43">
      <c r="A43" s="43" t="inlineStr">
        <is>
          <t>Layer 5 — Crew fit</t>
        </is>
      </c>
      <c r="B43" s="64" t="inlineStr">
        <is>
          <t>1 GB matches 1 layover. Selling 10 GB to a 1-time crew traveler feels wasteful → churn risk.</t>
        </is>
      </c>
    </row>
    <row r="45">
      <c r="A45" s="40" t="inlineStr">
        <is>
          <t>5. FLAT vs ZONAL — DECISION</t>
        </is>
      </c>
    </row>
    <row r="46">
      <c r="A46" s="65" t="inlineStr">
        <is>
          <t>v1 (LAUNCH): Flat $4.99 worldwide</t>
        </is>
      </c>
    </row>
    <row r="47">
      <c r="A47" s="66" t="inlineStr">
        <is>
          <t>v1.1 (3-6 months in): Add "Premium destinations $7.99-9.99" overlay for India / Africa / South America</t>
        </is>
      </c>
    </row>
    <row r="49">
      <c r="A49" s="39" t="inlineStr">
        <is>
          <t>Risk accepted: ~10% of crew trips happen in loss-making destinations (India/Brazil/Africa).</t>
        </is>
      </c>
    </row>
    <row r="50">
      <c r="A50" s="39" t="inlineStr">
        <is>
          <t>At 10,000 Economy users: 500 loss-making transactions × $4 loss = -$2,000/month.</t>
        </is>
      </c>
    </row>
    <row r="51">
      <c r="A51" s="39" t="inlineStr">
        <is>
          <t>But 9,500 profitable transactions × $4 profit = +$38,000/month. Net positive: +$36,000/month.</t>
        </is>
      </c>
    </row>
    <row r="52">
      <c r="A52" s="39" t="inlineStr">
        <is>
          <t>Trade: ~$24K/year of margin headroom for marketing simplicity + faster launch.</t>
        </is>
      </c>
    </row>
    <row r="54">
      <c r="A54" s="40" t="inlineStr">
        <is>
          <t>6. WORKED EXAMPLE — 100 ECONOMY USERS / MONTH</t>
        </is>
      </c>
    </row>
    <row r="55">
      <c r="A55" s="39" t="inlineStr">
        <is>
          <t>Assumption: avg PAYG user buys 2.5 top-ups/month (typical crew layover frequency).</t>
        </is>
      </c>
    </row>
    <row r="56">
      <c r="A56" s="48" t="inlineStr">
        <is>
          <t>Total top-ups bought</t>
        </is>
      </c>
      <c r="B56" s="67">
        <f>100*2.5</f>
        <v/>
      </c>
      <c r="C56" s="39" t="inlineStr">
        <is>
          <t>250 top-ups</t>
        </is>
      </c>
    </row>
    <row r="57">
      <c r="A57" s="48" t="inlineStr">
        <is>
          <t>Revenue per top-up</t>
        </is>
      </c>
      <c r="B57" s="51" t="n">
        <v>4.99</v>
      </c>
    </row>
    <row r="58">
      <c r="A58" s="48" t="inlineStr">
        <is>
          <t>Total revenue</t>
        </is>
      </c>
      <c r="B58" s="51">
        <f>B57*B56</f>
        <v/>
      </c>
    </row>
    <row r="59">
      <c r="A59" s="48" t="inlineStr">
        <is>
          <t>Avg wholesale cost / top-up (blended)</t>
        </is>
      </c>
      <c r="B59" s="51" t="n">
        <v>1.34</v>
      </c>
      <c r="C59" s="39" t="inlineStr">
        <is>
          <t>75/20/5 Emirates-realistic mix (updated 2026-06-01)</t>
        </is>
      </c>
    </row>
    <row r="60">
      <c r="A60" s="48" t="inlineStr">
        <is>
          <t>Total wholesale cost</t>
        </is>
      </c>
      <c r="B60" s="51">
        <f>B59*B56</f>
        <v/>
      </c>
    </row>
    <row r="61">
      <c r="A61" s="48" t="inlineStr">
        <is>
          <t>Gross profit</t>
        </is>
      </c>
      <c r="B61" s="51">
        <f>B58-B60</f>
        <v/>
      </c>
    </row>
    <row r="62">
      <c r="A62" s="48" t="inlineStr">
        <is>
          <t>Gross margin %</t>
        </is>
      </c>
      <c r="B62" s="52">
        <f>B61/B58</f>
        <v/>
      </c>
    </row>
    <row r="63">
      <c r="A63" s="48" t="inlineStr"/>
      <c r="B63" s="48" t="inlineStr"/>
    </row>
    <row r="64">
      <c r="A64" s="48" t="inlineStr">
        <is>
          <t>Per-user economics:</t>
        </is>
      </c>
      <c r="B64" s="48" t="inlineStr"/>
    </row>
    <row r="65">
      <c r="A65" s="48" t="inlineStr">
        <is>
          <t xml:space="preserve">  Revenue per Economy user / mo</t>
        </is>
      </c>
      <c r="B65" s="51">
        <f>B58/100</f>
        <v/>
      </c>
    </row>
    <row r="66">
      <c r="A66" s="48" t="inlineStr">
        <is>
          <t xml:space="preserve">  Cost per Economy user / mo</t>
        </is>
      </c>
      <c r="B66" s="68">
        <f>B60/100</f>
        <v/>
      </c>
    </row>
    <row r="67">
      <c r="A67" s="48" t="inlineStr">
        <is>
          <t xml:space="preserve">  Profit per Economy user / mo</t>
        </is>
      </c>
      <c r="B67" s="69">
        <f>B61/100</f>
        <v/>
      </c>
    </row>
    <row r="69">
      <c r="A69" s="40" t="inlineStr">
        <is>
          <t>7. AT SCALE — IF 30% OF USERS ARE ECONOMY</t>
        </is>
      </c>
    </row>
    <row r="70">
      <c r="A70" t="inlineStr">
        <is>
          <t>Total users</t>
        </is>
      </c>
      <c r="B70" s="70" t="n">
        <v>1000</v>
      </c>
      <c r="C70" s="39" t="inlineStr">
        <is>
          <t>← editable input</t>
        </is>
      </c>
    </row>
    <row r="71">
      <c r="A71" t="inlineStr">
        <is>
          <t>% on Economy</t>
        </is>
      </c>
      <c r="B71" s="57" t="n">
        <v>0.3</v>
      </c>
    </row>
    <row r="72">
      <c r="A72" t="inlineStr">
        <is>
          <t>Economy users</t>
        </is>
      </c>
      <c r="B72" s="71">
        <f>B70*B71</f>
        <v/>
      </c>
    </row>
    <row r="73">
      <c r="A73" t="inlineStr">
        <is>
          <t>Profit per Economy user/mo</t>
        </is>
      </c>
      <c r="B73" s="46">
        <f>B67</f>
        <v/>
      </c>
    </row>
    <row r="74">
      <c r="A74" t="inlineStr">
        <is>
          <t>Total monthly Economy profit</t>
        </is>
      </c>
      <c r="B74" s="72">
        <f>B72*B73</f>
        <v/>
      </c>
    </row>
    <row r="75">
      <c r="A75" t="inlineStr">
        <is>
          <t>Annual Economy profit</t>
        </is>
      </c>
      <c r="B75" s="72">
        <f>B74*12</f>
        <v/>
      </c>
    </row>
    <row r="77">
      <c r="A77" s="40" t="inlineStr">
        <is>
          <t>8. SOURCES &amp; ASSUMPTIONS</t>
        </is>
      </c>
    </row>
    <row r="78">
      <c r="A78" s="39" t="inlineStr">
        <is>
          <t>• Wholesale costs: Samurai-Wifi-Wholesale-CNY.xlsx (rate sheet, sampled 2026-05-31). CNY → USD at 7.2.</t>
        </is>
      </c>
    </row>
    <row r="79">
      <c r="A79" s="39" t="inlineStr">
        <is>
          <t>• Competitor benchmarks: docs/downloads/competitor-pricing-research-2026-06-01.html (Airalo / Holafly / Crew SIM etc.)</t>
        </is>
      </c>
    </row>
    <row r="80">
      <c r="A80" s="39" t="inlineStr">
        <is>
          <t>• 2.5 top-ups/user/month: assumption based on Emirates crew layover frequency (8-12 layovers/month, ~25% PAYG use).</t>
        </is>
      </c>
    </row>
    <row r="81">
      <c r="A81" s="39" t="inlineStr">
        <is>
          <t>• 70/20/10 zone mix: estimated Emirates crew layover distribution (East Asia + Europe + USA heavy).</t>
        </is>
      </c>
    </row>
    <row r="82">
      <c r="A82" s="39" t="inlineStr">
        <is>
          <t>• Locked: flat $4.99 v1, zonal v1.1.</t>
        </is>
      </c>
    </row>
    <row r="83">
      <c r="A83" s="39" t="inlineStr">
        <is>
          <t>• See [[Pricing Simulator]] tab for cross-tier comparison.</t>
        </is>
      </c>
    </row>
    <row r="84">
      <c r="A84" s="39" t="inlineStr">
        <is>
          <t>• See [[User Behavior]] tab for archetype mix that drives consumption assumptions.</t>
        </is>
      </c>
    </row>
  </sheetData>
  <mergeCells count="19">
    <mergeCell ref="A84:F84"/>
    <mergeCell ref="A80:F80"/>
    <mergeCell ref="A50:F50"/>
    <mergeCell ref="A55:F55"/>
    <mergeCell ref="A2:F2"/>
    <mergeCell ref="B43:F43"/>
    <mergeCell ref="B39:F39"/>
    <mergeCell ref="B42:F42"/>
    <mergeCell ref="A81:F81"/>
    <mergeCell ref="A52:F52"/>
    <mergeCell ref="A83:F83"/>
    <mergeCell ref="B40:F40"/>
    <mergeCell ref="A49:F49"/>
    <mergeCell ref="A51:F51"/>
    <mergeCell ref="A82:F82"/>
    <mergeCell ref="A1:F1"/>
    <mergeCell ref="A79:F79"/>
    <mergeCell ref="A78:F78"/>
    <mergeCell ref="B41:F4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C9A03B"/>
    <outlinePr summaryBelow="1" summaryRight="1"/>
    <pageSetUpPr/>
  </sheetPr>
  <dimension ref="A1:F77"/>
  <sheetViews>
    <sheetView workbookViewId="0">
      <selection activeCell="A1" sqref="A1"/>
    </sheetView>
  </sheetViews>
  <sheetFormatPr baseColWidth="8" defaultRowHeight="15"/>
  <cols>
    <col width="30" customWidth="1" min="1" max="1"/>
    <col width="14" customWidth="1" min="2" max="2"/>
    <col width="14" customWidth="1" min="3" max="3"/>
    <col width="14" customWidth="1" min="4" max="4"/>
    <col width="16" customWidth="1" min="5" max="5"/>
    <col width="32" customWidth="1" min="6" max="6"/>
  </cols>
  <sheetData>
    <row r="1">
      <c r="A1" s="53" t="inlineStr">
        <is>
          <t>Roster Bundle — math &amp; logic deep dive</t>
        </is>
      </c>
    </row>
    <row r="2">
      <c r="A2" s="39" t="inlineStr">
        <is>
          <t>Pre-committed flight bundle. Upload your roster, we bundle eSIMs for each layover at a discount, auto-arm on arrival. "Save $1 per flight by bundling."</t>
        </is>
      </c>
    </row>
    <row r="4">
      <c r="A4" s="40" t="inlineStr">
        <is>
          <t>1. PRODUCT DEFINITION</t>
        </is>
      </c>
    </row>
    <row r="5">
      <c r="A5" s="43" t="inlineStr">
        <is>
          <t>Product</t>
        </is>
      </c>
      <c r="B5" s="64" t="inlineStr">
        <is>
          <t>Roster Bundle (working name: Porter Plan)</t>
        </is>
      </c>
    </row>
    <row r="6">
      <c r="A6" s="43" t="inlineStr">
        <is>
          <t>Price formula</t>
        </is>
      </c>
      <c r="B6" s="64" t="inlineStr">
        <is>
          <t>$3.99 per flight bundled</t>
        </is>
      </c>
    </row>
    <row r="7">
      <c r="A7" s="43" t="inlineStr">
        <is>
          <t>Monthly cap</t>
        </is>
      </c>
      <c r="B7" s="64" t="inlineStr">
        <is>
          <t>$39.99 (no matter how many flights)</t>
        </is>
      </c>
    </row>
    <row r="8">
      <c r="A8" s="43" t="inlineStr">
        <is>
          <t>What is bundled</t>
        </is>
      </c>
      <c r="B8" s="64" t="inlineStr">
        <is>
          <t>A separate country-specific eSIM for each layover identified from roster</t>
        </is>
      </c>
    </row>
    <row r="9">
      <c r="A9" s="43" t="inlineStr">
        <is>
          <t>Auto-arming</t>
        </is>
      </c>
      <c r="B9" s="64" t="inlineStr">
        <is>
          <t>YES — each eSIM activates when crew lands in that city</t>
        </is>
      </c>
    </row>
    <row r="10">
      <c r="A10" s="43" t="inlineStr">
        <is>
          <t>Discount vs PAYG</t>
        </is>
      </c>
      <c r="B10" s="64" t="inlineStr">
        <is>
          <t>$1/flight saved (20% off the $4.99 Economy rate)</t>
        </is>
      </c>
    </row>
    <row r="11">
      <c r="A11" s="43" t="inlineStr">
        <is>
          <t>Subscription?</t>
        </is>
      </c>
      <c r="B11" s="64" t="inlineStr">
        <is>
          <t>Monthly recurring once enrolled — auto-renews on next roster upload</t>
        </is>
      </c>
    </row>
    <row r="12">
      <c r="A12" s="43" t="inlineStr">
        <is>
          <t>Coverage (v1)</t>
        </is>
      </c>
      <c r="B12" s="64" t="inlineStr">
        <is>
          <t>Same Samurai eSIM catalog as Economy</t>
        </is>
      </c>
    </row>
    <row r="14">
      <c r="A14" s="40" t="inlineStr">
        <is>
          <t>2. WORKED EXAMPLE — 5 FLIGHTS, MIXED ZONES</t>
        </is>
      </c>
    </row>
    <row r="15">
      <c r="A15" s="41" t="inlineStr">
        <is>
          <t>City</t>
        </is>
      </c>
      <c r="B15" s="41" t="inlineStr">
        <is>
          <t>Samurai cost</t>
        </is>
      </c>
      <c r="C15" s="41" t="inlineStr">
        <is>
          <t>PAYG price</t>
        </is>
      </c>
      <c r="D15" s="41" t="inlineStr">
        <is>
          <t>Bundle price</t>
        </is>
      </c>
      <c r="E15" s="41" t="inlineStr">
        <is>
          <t>Bundle profit</t>
        </is>
      </c>
      <c r="F15" s="41" t="inlineStr">
        <is>
          <t>Margin %</t>
        </is>
      </c>
    </row>
    <row r="16">
      <c r="A16" s="48" t="inlineStr">
        <is>
          <t>Tokyo</t>
        </is>
      </c>
      <c r="B16" s="54" t="n">
        <v>0.9</v>
      </c>
      <c r="C16" s="54" t="n">
        <v>4.99</v>
      </c>
      <c r="D16" s="54" t="n">
        <v>3.99</v>
      </c>
      <c r="E16" s="61">
        <f>D16-B16</f>
        <v/>
      </c>
      <c r="F16" s="57">
        <f>E16/D16</f>
        <v/>
      </c>
    </row>
    <row r="17">
      <c r="A17" s="48" t="inlineStr">
        <is>
          <t>Singapore</t>
        </is>
      </c>
      <c r="B17" s="54" t="n">
        <v>0.83</v>
      </c>
      <c r="C17" s="54" t="n">
        <v>4.99</v>
      </c>
      <c r="D17" s="54" t="n">
        <v>3.99</v>
      </c>
      <c r="E17" s="61">
        <f>D17-B17</f>
        <v/>
      </c>
      <c r="F17" s="57">
        <f>E17/D17</f>
        <v/>
      </c>
    </row>
    <row r="18">
      <c r="A18" s="48" t="inlineStr">
        <is>
          <t>London</t>
        </is>
      </c>
      <c r="B18" s="54" t="n">
        <v>1.25</v>
      </c>
      <c r="C18" s="54" t="n">
        <v>4.99</v>
      </c>
      <c r="D18" s="54" t="n">
        <v>3.99</v>
      </c>
      <c r="E18" s="61">
        <f>D18-B18</f>
        <v/>
      </c>
      <c r="F18" s="57">
        <f>E18/D18</f>
        <v/>
      </c>
    </row>
    <row r="19">
      <c r="A19" s="48" t="inlineStr">
        <is>
          <t>Sydney</t>
        </is>
      </c>
      <c r="B19" s="54" t="n">
        <v>1.04</v>
      </c>
      <c r="C19" s="54" t="n">
        <v>4.99</v>
      </c>
      <c r="D19" s="54" t="n">
        <v>3.99</v>
      </c>
      <c r="E19" s="61">
        <f>D19-B19</f>
        <v/>
      </c>
      <c r="F19" s="57">
        <f>E19/D19</f>
        <v/>
      </c>
    </row>
    <row r="20">
      <c r="A20" s="48" t="inlineStr">
        <is>
          <t>Mumbai</t>
        </is>
      </c>
      <c r="B20" s="54" t="n">
        <v>5.21</v>
      </c>
      <c r="C20" s="54" t="n">
        <v>4.99</v>
      </c>
      <c r="D20" s="54" t="n">
        <v>3.99</v>
      </c>
      <c r="E20" s="61">
        <f>D20-B20</f>
        <v/>
      </c>
      <c r="F20" s="57">
        <f>E20/D20</f>
        <v/>
      </c>
    </row>
    <row r="21">
      <c r="A21" s="73" t="inlineStr">
        <is>
          <t>TOTAL (5 flights)</t>
        </is>
      </c>
      <c r="B21" s="74">
        <f>SUM(B16:B20)</f>
        <v/>
      </c>
      <c r="C21" s="74">
        <f>SUM(C16:C20)</f>
        <v/>
      </c>
      <c r="D21" s="74">
        <f>SUM(D16:D20)</f>
        <v/>
      </c>
      <c r="E21" s="74">
        <f>SUM(E16:E20)</f>
        <v/>
      </c>
      <c r="F21" s="75">
        <f>E21/D21</f>
        <v/>
      </c>
    </row>
    <row r="23">
      <c r="A23" s="40" t="inlineStr">
        <is>
          <t>3. PAYG vs BUNDLE — THE REAL COMPARISON</t>
        </is>
      </c>
    </row>
    <row r="24">
      <c r="A24" s="39" t="inlineStr">
        <is>
          <t>Reality: PAYG users do not buy all 5 SIMs. They buy when they remember. Bundle captures the whole month.</t>
        </is>
      </c>
    </row>
    <row r="25">
      <c r="A25" s="41" t="inlineStr">
        <is>
          <t>Scenario</t>
        </is>
      </c>
      <c r="B25" s="41" t="inlineStr">
        <is>
          <t>User pays</t>
        </is>
      </c>
      <c r="C25" s="41" t="inlineStr">
        <is>
          <t>Our cost</t>
        </is>
      </c>
      <c r="D25" s="41" t="inlineStr">
        <is>
          <t>Profit</t>
        </is>
      </c>
      <c r="E25" s="41" t="inlineStr">
        <is>
          <t>Margin %</t>
        </is>
      </c>
      <c r="F25" s="41" t="inlineStr">
        <is>
          <t>Notes</t>
        </is>
      </c>
    </row>
    <row r="26">
      <c r="A26" s="48" t="inlineStr">
        <is>
          <t>PAYG — buys 2 of 5 flights (typical)</t>
        </is>
      </c>
      <c r="B26" s="54" t="n">
        <v>9.98</v>
      </c>
      <c r="C26" s="54" t="n">
        <v>1.73</v>
      </c>
      <c r="D26" s="54" t="n">
        <v>8.25</v>
      </c>
      <c r="E26" s="57" t="n">
        <v>0.8266533066132264</v>
      </c>
      <c r="F26" s="39" t="inlineStr">
        <is>
          <t>Realistic PAYG behavior</t>
        </is>
      </c>
    </row>
    <row r="27">
      <c r="A27" s="48" t="inlineStr">
        <is>
          <t>PAYG — buys 3 of 5 flights</t>
        </is>
      </c>
      <c r="B27" s="54" t="n">
        <v>14.97</v>
      </c>
      <c r="C27" s="54" t="n">
        <v>3.49</v>
      </c>
      <c r="D27" s="54" t="n">
        <v>11.48</v>
      </c>
      <c r="E27" s="57" t="n">
        <v>0.7668670674682698</v>
      </c>
      <c r="F27" s="39" t="inlineStr">
        <is>
          <t>Slightly above-avg PAYG</t>
        </is>
      </c>
    </row>
    <row r="28">
      <c r="A28" s="48" t="inlineStr">
        <is>
          <t>PAYG — buys all 5 flights (rare)</t>
        </is>
      </c>
      <c r="B28" s="54" t="n">
        <v>24.95</v>
      </c>
      <c r="C28" s="54" t="n">
        <v>9.23</v>
      </c>
      <c r="D28" s="54" t="n">
        <v>15.72</v>
      </c>
      <c r="E28" s="57" t="n">
        <v>0.630060120240481</v>
      </c>
      <c r="F28" s="39" t="inlineStr">
        <is>
          <t>Disciplined PAYG user</t>
        </is>
      </c>
    </row>
    <row r="29">
      <c r="A29" s="73" t="inlineStr">
        <is>
          <t>Roster Bundle — all 5 captured</t>
        </is>
      </c>
      <c r="B29" s="59" t="n">
        <v>19.95</v>
      </c>
      <c r="C29" s="59" t="n">
        <v>9.23</v>
      </c>
      <c r="D29" s="76" t="n">
        <v>10.72</v>
      </c>
      <c r="E29" s="56" t="n">
        <v>0.5373433583959899</v>
      </c>
      <c r="F29" s="77" t="inlineStr">
        <is>
          <t>Pre-committed bundle</t>
        </is>
      </c>
    </row>
    <row r="32">
      <c r="A32" s="40" t="inlineStr">
        <is>
          <t>4. PRICING TABLE — DIFFERENT FLIGHT COUNTS</t>
        </is>
      </c>
    </row>
    <row r="33">
      <c r="A33" s="41" t="inlineStr">
        <is>
          <t># Flights</t>
        </is>
      </c>
      <c r="B33" s="41" t="inlineStr">
        <is>
          <t>PAYG total</t>
        </is>
      </c>
      <c r="C33" s="41" t="inlineStr">
        <is>
          <t>Bundle price</t>
        </is>
      </c>
      <c r="D33" s="41" t="inlineStr">
        <is>
          <t>User saves</t>
        </is>
      </c>
      <c r="E33" s="41" t="inlineStr">
        <is>
          <t>Est. our profit</t>
        </is>
      </c>
      <c r="F33" s="41" t="inlineStr">
        <is>
          <t>Notes</t>
        </is>
      </c>
    </row>
    <row r="34">
      <c r="A34" s="48" t="n">
        <v>3</v>
      </c>
      <c r="B34" s="54" t="n">
        <v>14.97</v>
      </c>
      <c r="C34" s="54" t="n">
        <v>11.97</v>
      </c>
      <c r="D34" s="54" t="n">
        <v>3</v>
      </c>
      <c r="E34" s="54" t="n">
        <v>8</v>
      </c>
      <c r="F34" s="39" t="inlineStr">
        <is>
          <t>Light flier — junior crew</t>
        </is>
      </c>
    </row>
    <row r="35">
      <c r="A35" s="78" t="n">
        <v>5</v>
      </c>
      <c r="B35" s="79" t="n">
        <v>24.95</v>
      </c>
      <c r="C35" s="79" t="n">
        <v>19.95</v>
      </c>
      <c r="D35" s="79" t="n">
        <v>5</v>
      </c>
      <c r="E35" s="79" t="n">
        <v>10.72</v>
      </c>
      <c r="F35" s="80" t="inlineStr">
        <is>
          <t>Typical Emirates crew month</t>
        </is>
      </c>
    </row>
    <row r="36">
      <c r="A36" s="48" t="n">
        <v>7</v>
      </c>
      <c r="B36" s="54" t="n">
        <v>34.93</v>
      </c>
      <c r="C36" s="54" t="n">
        <v>27.93</v>
      </c>
      <c r="D36" s="54" t="n">
        <v>7</v>
      </c>
      <c r="E36" s="54" t="n">
        <v>16</v>
      </c>
      <c r="F36" s="39" t="inlineStr">
        <is>
          <t>Above-avg flier</t>
        </is>
      </c>
    </row>
    <row r="37">
      <c r="A37" s="48" t="n">
        <v>10</v>
      </c>
      <c r="B37" s="54" t="n">
        <v>49.9</v>
      </c>
      <c r="C37" s="54" t="n">
        <v>39.9</v>
      </c>
      <c r="D37" s="54" t="n">
        <v>10</v>
      </c>
      <c r="E37" s="54" t="n">
        <v>25</v>
      </c>
      <c r="F37" s="39" t="inlineStr">
        <is>
          <t>Heavy flier — hits cap at 10</t>
        </is>
      </c>
    </row>
    <row r="38">
      <c r="A38" s="48" t="n">
        <v>12</v>
      </c>
      <c r="B38" s="54" t="n">
        <v>59.88</v>
      </c>
      <c r="C38" s="54" t="n">
        <v>39.99</v>
      </c>
      <c r="D38" s="54" t="n">
        <v>19.89</v>
      </c>
      <c r="E38" s="54" t="n">
        <v>26</v>
      </c>
      <c r="F38" s="39" t="inlineStr">
        <is>
          <t>Max flier — bundle capped at $39.99</t>
        </is>
      </c>
    </row>
    <row r="41">
      <c r="A41" s="40" t="inlineStr">
        <is>
          <t>5. WHY ROSTER BUNDLE WINS (FOR US AND THE CREW)</t>
        </is>
      </c>
    </row>
    <row r="42">
      <c r="A42" s="43" t="inlineStr">
        <is>
          <t>Reality vs theory</t>
        </is>
      </c>
      <c r="B42" s="64" t="inlineStr">
        <is>
          <t>PAYG users buy 2-3 SIMs/month from forgetfulness. Bundle captures all 5. Revenue per user: ~$10 PAYG → $20 Bundle. ~2x revenue capture.</t>
        </is>
      </c>
    </row>
    <row r="43">
      <c r="A43" s="43" t="inlineStr">
        <is>
          <t>Commitment + LTV</t>
        </is>
      </c>
      <c r="B43" s="64" t="inlineStr">
        <is>
          <t>Bundle = monthly recurring. PAYG = ad-hoc. Bundle users stay 4-6× longer. Lower churn, higher LTV.</t>
        </is>
      </c>
    </row>
    <row r="44">
      <c r="A44" s="43" t="inlineStr">
        <is>
          <t>Predictable cash flow</t>
        </is>
      </c>
      <c r="B44" s="64" t="inlineStr">
        <is>
          <t>We know in advance which SIMs to buy from Samurai → bulk-prepay negotiating leverage.</t>
        </is>
      </c>
    </row>
    <row r="45">
      <c r="A45" s="43" t="inlineStr">
        <is>
          <t>Lower support burden</t>
        </is>
      </c>
      <c r="B45" s="64" t="inlineStr">
        <is>
          <t>Auto-arming means no "how do I install" tickets. Saves support cost.</t>
        </is>
      </c>
    </row>
    <row r="46">
      <c r="A46" s="43" t="inlineStr">
        <is>
          <t>Unique product moat</t>
        </is>
      </c>
      <c r="B46" s="64" t="inlineStr">
        <is>
          <t>No competitor does roster-upload-driven bundling. This is the wedge.</t>
        </is>
      </c>
    </row>
    <row r="47">
      <c r="A47" s="43" t="inlineStr">
        <is>
          <t>Crew psychology</t>
        </is>
      </c>
      <c r="B47" s="64" t="inlineStr">
        <is>
          <t>Crew see "$1 saved per flight + zero hassle on arrival" — clear value prop. Repeatable in WhatsApp.</t>
        </is>
      </c>
    </row>
    <row r="50">
      <c r="A50" s="40" t="inlineStr">
        <is>
          <t>6. AT-SCALE PROFIT CALCULATOR</t>
        </is>
      </c>
    </row>
    <row r="51">
      <c r="A51" t="inlineStr">
        <is>
          <t>Total users</t>
        </is>
      </c>
      <c r="B51" s="70" t="n">
        <v>1000</v>
      </c>
      <c r="C51" s="39" t="inlineStr">
        <is>
          <t>← editable</t>
        </is>
      </c>
    </row>
    <row r="52">
      <c r="A52" t="inlineStr">
        <is>
          <t>% on Roster Bundle</t>
        </is>
      </c>
      <c r="B52" s="81" t="n">
        <v>0.18</v>
      </c>
    </row>
    <row r="53">
      <c r="A53" t="inlineStr">
        <is>
          <t>Roster Bundle users</t>
        </is>
      </c>
      <c r="B53" s="71">
        <f>B51*B52</f>
        <v/>
      </c>
    </row>
    <row r="54">
      <c r="A54" t="inlineStr">
        <is>
          <t>Avg flights per bundle user (Emirates baseline)</t>
        </is>
      </c>
      <c r="B54" s="70" t="n">
        <v>5</v>
      </c>
    </row>
    <row r="55">
      <c r="A55" t="inlineStr">
        <is>
          <t>Avg user pays (5 flights × $3.99)</t>
        </is>
      </c>
      <c r="B55" s="54">
        <f>B54*3.99</f>
        <v/>
      </c>
    </row>
    <row r="56">
      <c r="A56" t="inlineStr">
        <is>
          <t>Avg our cost per bundle (5 flights, mixed zones)</t>
        </is>
      </c>
      <c r="B56" s="46" t="n">
        <v>9.23</v>
      </c>
      <c r="C56" s="39" t="inlineStr">
        <is>
          <t>← from worked example</t>
        </is>
      </c>
    </row>
    <row r="57">
      <c r="A57" t="inlineStr">
        <is>
          <t>Profit per bundle user / month</t>
        </is>
      </c>
      <c r="B57" s="68">
        <f>B55-B56</f>
        <v/>
      </c>
    </row>
    <row r="58">
      <c r="A58" t="inlineStr">
        <is>
          <t>Total monthly profit (Roster Bundle line)</t>
        </is>
      </c>
      <c r="B58" s="72">
        <f>B53*B57</f>
        <v/>
      </c>
    </row>
    <row r="59">
      <c r="A59" t="inlineStr">
        <is>
          <t>Annual profit (Roster Bundle line)</t>
        </is>
      </c>
      <c r="B59" s="72">
        <f>B58*12</f>
        <v/>
      </c>
    </row>
    <row r="61">
      <c r="A61" s="40" t="inlineStr">
        <is>
          <t>7. EDGE CASES TO HANDLE IN APP</t>
        </is>
      </c>
    </row>
    <row r="62">
      <c r="A62" s="43" t="inlineStr">
        <is>
          <t>All-expensive bundle (5× Mumbai etc.)</t>
        </is>
      </c>
      <c r="B62" s="64" t="inlineStr">
        <is>
          <t>Wholesale cost &gt; Bundle price. We lose money. Mitigation: cap bundle savings at 20% OR show user "your bundle = $X" and let them opt out. &lt;2% of crew.</t>
        </is>
      </c>
    </row>
    <row r="63">
      <c r="A63" s="43" t="inlineStr">
        <is>
          <t>Schedule change mid-month</t>
        </is>
      </c>
      <c r="B63" s="64" t="inlineStr">
        <is>
          <t>Crew gets reassigned. We pre-bought a SIM for the old city. Mitigation: pro-rate refund credit toward next month bundle.</t>
        </is>
      </c>
    </row>
    <row r="64">
      <c r="A64" s="43" t="inlineStr">
        <is>
          <t>Single-flight month (vacation week)</t>
        </is>
      </c>
      <c r="B64" s="64" t="inlineStr">
        <is>
          <t>1 flight × $3.99 = $3.99 bundle. Smaller than PAYG. Mitigation: minimum 3-flight threshold before bundle kicks in (else they fall back to PAYG).</t>
        </is>
      </c>
    </row>
    <row r="65">
      <c r="A65" s="43" t="inlineStr">
        <is>
          <t>Layover &lt; 24 hours</t>
        </is>
      </c>
      <c r="B65" s="64" t="inlineStr">
        <is>
          <t>Some crew layovers are 8-12 hours. Do they even need data? Mitigation: app shows "skip this leg" option.</t>
        </is>
      </c>
    </row>
    <row r="66">
      <c r="A66" s="43" t="inlineStr">
        <is>
          <t>Crew who do not upload roster</t>
        </is>
      </c>
      <c r="B66" s="64" t="inlineStr">
        <is>
          <t>Without roster upload, we cannot bundle. They stay on Economy. Mitigation: manual flight builder UI (v1.1).</t>
        </is>
      </c>
    </row>
    <row r="69">
      <c r="A69" s="40" t="inlineStr">
        <is>
          <t>8. SOURCES &amp; ASSUMPTIONS</t>
        </is>
      </c>
    </row>
    <row r="70">
      <c r="A70" s="39" t="inlineStr">
        <is>
          <t>• Wholesale costs: Samurai-Wifi-Wholesale-CNY.xlsx (1 GB / 2-day plans, sampled 2026-05-31).</t>
        </is>
      </c>
    </row>
    <row r="71">
      <c r="A71" s="39" t="inlineStr">
        <is>
          <t>• $3.99 / flight pricing: 20% discount from Economy $4.99 — meaningful savings, simple math.</t>
        </is>
      </c>
    </row>
    <row r="72">
      <c r="A72" s="39" t="inlineStr">
        <is>
          <t>• $39.99 cap: protects heavy-flier crew (12+ flights/month) from feeling penalized.</t>
        </is>
      </c>
    </row>
    <row r="73">
      <c r="A73" s="39" t="inlineStr">
        <is>
          <t>• 5-flight baseline: typical Emirates crew monthly schedule (8-12 layovers, ~5 distinct destinations).</t>
        </is>
      </c>
    </row>
    <row r="74">
      <c r="A74" s="39" t="inlineStr">
        <is>
          <t>• Real PAYG behavior 2-3 of 5: estimated. Validate with crew interviews + early usage data.</t>
        </is>
      </c>
    </row>
    <row r="75">
      <c r="A75" s="39" t="inlineStr">
        <is>
          <t>• Bundle captures roughly 2× the per-user revenue of PAYG due to forgetfulness offset.</t>
        </is>
      </c>
    </row>
    <row r="76">
      <c r="A76" s="39" t="inlineStr">
        <is>
          <t>• See [[Economy Logic]] tab for the $4.99 baseline this product discounts from.</t>
        </is>
      </c>
    </row>
    <row r="77">
      <c r="A77" s="39" t="inlineStr">
        <is>
          <t>• See [[Pricing Simulator]] tab for cross-tier price ladder.</t>
        </is>
      </c>
    </row>
  </sheetData>
  <mergeCells count="30">
    <mergeCell ref="B7:F7"/>
    <mergeCell ref="B47:F47"/>
    <mergeCell ref="B62:F62"/>
    <mergeCell ref="A75:F75"/>
    <mergeCell ref="B66:F66"/>
    <mergeCell ref="A74:F74"/>
    <mergeCell ref="B46:F46"/>
    <mergeCell ref="A2:F2"/>
    <mergeCell ref="B43:F43"/>
    <mergeCell ref="B12:F12"/>
    <mergeCell ref="A71:F71"/>
    <mergeCell ref="A76:F76"/>
    <mergeCell ref="B11:F11"/>
    <mergeCell ref="B42:F42"/>
    <mergeCell ref="B8:F8"/>
    <mergeCell ref="A72:F72"/>
    <mergeCell ref="B44:F44"/>
    <mergeCell ref="B10:F10"/>
    <mergeCell ref="A77:F77"/>
    <mergeCell ref="B9:F9"/>
    <mergeCell ref="A24:F24"/>
    <mergeCell ref="B65:F65"/>
    <mergeCell ref="A73:F73"/>
    <mergeCell ref="B6:F6"/>
    <mergeCell ref="B64:F64"/>
    <mergeCell ref="A1:F1"/>
    <mergeCell ref="A70:F70"/>
    <mergeCell ref="B5:F5"/>
    <mergeCell ref="B45:F45"/>
    <mergeCell ref="B63:F63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2D7A4F"/>
    <outlinePr summaryBelow="1" summaryRight="1"/>
    <pageSetUpPr/>
  </sheetPr>
  <dimension ref="A1:F7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18" customWidth="1" min="5" max="5"/>
    <col width="22" customWidth="1" min="6" max="6"/>
  </cols>
  <sheetData>
    <row r="1">
      <c r="A1" s="53" t="inlineStr">
        <is>
          <t>Premium Economy — math &amp; logic deep dive</t>
        </is>
      </c>
    </row>
    <row r="2">
      <c r="A2" s="39" t="inlineStr">
        <is>
          <t>Global pool subscription for crew without rosters. 1-GB-at-a-time UX (manual refill) maximizes breakage transparently.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$17.99 / month</t>
        </is>
      </c>
    </row>
    <row r="6">
      <c r="A6" s="43" t="inlineStr">
        <is>
          <t>Pool</t>
        </is>
      </c>
      <c r="B6" s="64" t="inlineStr">
        <is>
          <t>10 GB (global)</t>
        </is>
      </c>
    </row>
    <row r="7">
      <c r="A7" s="43" t="inlineStr">
        <is>
          <t>Carryover</t>
        </is>
      </c>
      <c r="B7" s="64" t="inlineStr">
        <is>
          <t>50% × 1 month (unused half rolls forward)</t>
        </is>
      </c>
    </row>
    <row r="8">
      <c r="A8" s="43" t="inlineStr">
        <is>
          <t>Coverage</t>
        </is>
      </c>
      <c r="B8" s="64" t="inlineStr">
        <is>
          <t>Any country on supplier network</t>
        </is>
      </c>
    </row>
    <row r="9">
      <c r="A9" s="43" t="inlineStr">
        <is>
          <t>UX — active data</t>
        </is>
      </c>
      <c r="B9" s="64" t="inlineStr">
        <is>
          <t>1 GB at a time visible in app</t>
        </is>
      </c>
    </row>
    <row r="10">
      <c r="A10" s="43" t="inlineStr">
        <is>
          <t>UX — refill</t>
        </is>
      </c>
      <c r="B10" s="64" t="inlineStr">
        <is>
          <t>Manual "Refill from pool" button (visible, not hidden)</t>
        </is>
      </c>
    </row>
    <row r="11">
      <c r="A11" s="43" t="inlineStr">
        <is>
          <t>UX — reminder</t>
        </is>
      </c>
      <c r="B11" s="64" t="inlineStr">
        <is>
          <t>Day-25 push: "You have X GB unused — refill?"</t>
        </is>
      </c>
    </row>
    <row r="12">
      <c r="A12" s="43" t="inlineStr">
        <is>
          <t>Auto-arming</t>
        </is>
      </c>
      <c r="B12" s="64" t="inlineStr">
        <is>
          <t>NO — manual eSIM install required</t>
        </is>
      </c>
    </row>
    <row r="13">
      <c r="A13" s="43" t="inlineStr">
        <is>
          <t>Refuel ($5.99 / 1 GB)</t>
        </is>
      </c>
      <c r="B13" s="64" t="inlineStr">
        <is>
          <t>Available even with full pool</t>
        </is>
      </c>
    </row>
    <row r="14">
      <c r="A14" s="43" t="inlineStr">
        <is>
          <t>Best for</t>
        </is>
      </c>
      <c r="B14" s="64" t="inlineStr">
        <is>
          <t>Reserve crew, irregular schedules, tourists who skip Roster Bundle</t>
        </is>
      </c>
    </row>
    <row r="16">
      <c r="A16" s="40" t="inlineStr">
        <is>
          <t>2. PER-USER MONTHLY MATH (with 1-GB refill friction)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Revenue per subscriber / mo</t>
        </is>
      </c>
      <c r="B18" s="54" t="n">
        <v>17.99</v>
      </c>
      <c r="C18" s="39" t="inlineStr">
        <is>
          <t>Locked retail</t>
        </is>
      </c>
    </row>
    <row r="19">
      <c r="A19" s="48" t="inlineStr">
        <is>
          <t>GB Consumed (40% friction-adjusted)</t>
        </is>
      </c>
      <c r="B19" s="82" t="n">
        <v>4</v>
      </c>
      <c r="C19" s="39" t="inlineStr">
        <is>
          <t>Vs 62.5% if auto-deducted</t>
        </is>
      </c>
    </row>
    <row r="20">
      <c r="A20" s="48" t="inlineStr">
        <is>
          <t>Wholesale cost / GB (blended Samurai)</t>
        </is>
      </c>
      <c r="B20" s="54" t="n">
        <v>1.34</v>
      </c>
      <c r="C20" s="39" t="inlineStr">
        <is>
          <t>Cheap+medium zone weighted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Consumed × cost/GB</f>
        <v/>
      </c>
    </row>
    <row r="22">
      <c r="A22" s="48" t="inlineStr">
        <is>
          <t>GB Carryover (next month bank)</t>
        </is>
      </c>
      <c r="B22" s="82">
        <f>(10-B19)*0.5</f>
        <v/>
      </c>
      <c r="C22" s="39" t="inlineStr">
        <is>
          <t>50% of unused rolls forward</t>
        </is>
      </c>
    </row>
    <row r="23">
      <c r="A23" s="48" t="inlineStr">
        <is>
          <t>GB Breakage (gone)</t>
        </is>
      </c>
      <c r="B23" s="82">
        <f>(10-B19)*0.5</f>
        <v/>
      </c>
      <c r="C23" s="39" t="inlineStr">
        <is>
          <t>50% expires — pure profit</t>
        </is>
      </c>
    </row>
    <row r="24">
      <c r="A24" s="48" t="inlineStr">
        <is>
          <t>Gross profit from subscription</t>
        </is>
      </c>
      <c r="B24" s="54">
        <f>B18-B21</f>
        <v/>
      </c>
      <c r="C24" s="39" t="inlineStr">
        <is>
          <t>Revenue − COGS</t>
        </is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</v>
      </c>
      <c r="C27" s="39" t="inlineStr">
        <is>
          <t>Lower than 34% — pool not empty</t>
        </is>
      </c>
    </row>
    <row r="28">
      <c r="A28" s="48" t="inlineStr">
        <is>
          <t>Refuel revenue / user</t>
        </is>
      </c>
      <c r="B28" s="54">
        <f>B27*5.99</f>
        <v/>
      </c>
      <c r="C28" s="39" t="inlineStr">
        <is>
          <t>$5.99 per 1 GB top-up</t>
        </is>
      </c>
    </row>
    <row r="29">
      <c r="A29" s="48" t="inlineStr">
        <is>
          <t>Refuel COGS / user</t>
        </is>
      </c>
      <c r="B29" s="54">
        <f>B27*B20</f>
        <v/>
      </c>
      <c r="C29" s="39" t="inlineStr">
        <is>
          <t>1 GB × wholesale</t>
        </is>
      </c>
    </row>
    <row r="30">
      <c r="A30" s="48" t="inlineStr">
        <is>
          <t>Refuel net profit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Premium user / mo</t>
        </is>
      </c>
      <c r="B32" s="83">
        <f>B24+B30</f>
        <v/>
      </c>
    </row>
    <row r="33">
      <c r="A33" s="48" t="inlineStr">
        <is>
          <t>TOTAL all-in margin %</t>
        </is>
      </c>
      <c r="B33" s="84">
        <f>B32/(B18+B28)</f>
        <v/>
      </c>
    </row>
    <row r="35">
      <c r="A35" s="40" t="inlineStr">
        <is>
          <t>3. WITH vs WITHOUT THE 1-GB REFILL FRICTION</t>
        </is>
      </c>
    </row>
    <row r="36">
      <c r="A36" s="41" t="inlineStr">
        <is>
          <t>Scenario</t>
        </is>
      </c>
      <c r="B36" s="41" t="inlineStr">
        <is>
          <t>Consumption %</t>
        </is>
      </c>
      <c r="C36" s="41" t="inlineStr">
        <is>
          <t>COGS/user</t>
        </is>
      </c>
      <c r="D36" s="41" t="inlineStr">
        <is>
          <t>Profit/user</t>
        </is>
      </c>
      <c r="E36" s="41" t="inlineStr">
        <is>
          <t>Margin</t>
        </is>
      </c>
      <c r="F36" s="41" t="inlineStr">
        <is>
          <t>Notes</t>
        </is>
      </c>
    </row>
    <row r="37">
      <c r="A37" s="48" t="inlineStr">
        <is>
          <t>Without friction (auto-deduct full pool)</t>
        </is>
      </c>
      <c r="B37" s="48" t="inlineStr">
        <is>
          <t>62.5%</t>
        </is>
      </c>
      <c r="C37" s="61" t="n">
        <v>7.5</v>
      </c>
      <c r="D37" s="61" t="n">
        <v>10.49</v>
      </c>
      <c r="E37" s="48" t="inlineStr">
        <is>
          <t>58%</t>
        </is>
      </c>
      <c r="F37" s="39" t="inlineStr">
        <is>
          <t>Standard SaaS</t>
        </is>
      </c>
    </row>
    <row r="38">
      <c r="A38" s="85" t="inlineStr">
        <is>
          <t>With 1-GB refill friction (locked design)</t>
        </is>
      </c>
      <c r="B38" s="85" t="inlineStr">
        <is>
          <t>40%</t>
        </is>
      </c>
      <c r="C38" s="60" t="n">
        <v>4.8</v>
      </c>
      <c r="D38" s="60" t="n">
        <v>13.19</v>
      </c>
      <c r="E38" s="85" t="inlineStr">
        <is>
          <t>73%</t>
        </is>
      </c>
      <c r="F38" s="77" t="inlineStr">
        <is>
          <t>Friction = breakage = margin</t>
        </is>
      </c>
    </row>
    <row r="39">
      <c r="A39" s="48" t="inlineStr">
        <is>
          <t>Delta per user / month</t>
        </is>
      </c>
      <c r="B39" s="48" t="inlineStr"/>
      <c r="C39" s="61" t="n">
        <v>-2.7</v>
      </c>
      <c r="D39" s="61" t="n">
        <v>2.7</v>
      </c>
      <c r="E39" s="48" t="inlineStr">
        <is>
          <t>+15pts</t>
        </is>
      </c>
      <c r="F39" s="39" t="inlineStr">
        <is>
          <t>Pure breakage profit</t>
        </is>
      </c>
    </row>
    <row r="41">
      <c r="A41" s="40" t="inlineStr">
        <is>
          <t>4. AT SCALE (Premium Economy = 13% of users per Tab 1 mix)</t>
        </is>
      </c>
    </row>
    <row r="42">
      <c r="A42" s="41" t="inlineStr">
        <is>
          <t>Total users</t>
        </is>
      </c>
      <c r="B42" s="41" t="inlineStr">
        <is>
          <t>Premium users (13%)</t>
        </is>
      </c>
      <c r="C42" s="41" t="inlineStr">
        <is>
          <t>Monthly profit</t>
        </is>
      </c>
      <c r="D42" s="41" t="inlineStr">
        <is>
          <t>Annual profit</t>
        </is>
      </c>
      <c r="E42" s="41" t="inlineStr">
        <is>
          <t>Extra from friction</t>
        </is>
      </c>
    </row>
    <row r="43">
      <c r="A43" s="71" t="n">
        <v>1000</v>
      </c>
      <c r="B43" s="71" t="n">
        <v>130</v>
      </c>
      <c r="C43" s="86" t="n">
        <v>1839.5</v>
      </c>
      <c r="D43" s="86" t="n">
        <v>22074</v>
      </c>
      <c r="E43" s="86" t="n">
        <v>4212</v>
      </c>
    </row>
    <row r="44">
      <c r="A44" s="71" t="n">
        <v>5000</v>
      </c>
      <c r="B44" s="71" t="n">
        <v>650</v>
      </c>
      <c r="C44" s="86" t="n">
        <v>9197.5</v>
      </c>
      <c r="D44" s="86" t="n">
        <v>110370</v>
      </c>
      <c r="E44" s="86" t="n">
        <v>21060</v>
      </c>
    </row>
    <row r="45">
      <c r="A45" s="71" t="n">
        <v>10000</v>
      </c>
      <c r="B45" s="71" t="n">
        <v>1300</v>
      </c>
      <c r="C45" s="86" t="n">
        <v>18395</v>
      </c>
      <c r="D45" s="86" t="n">
        <v>220740</v>
      </c>
      <c r="E45" s="86" t="n">
        <v>42120.00000000001</v>
      </c>
    </row>
    <row r="46">
      <c r="A46" s="71" t="n">
        <v>50000</v>
      </c>
      <c r="B46" s="71" t="n">
        <v>6500</v>
      </c>
      <c r="C46" s="86" t="n">
        <v>91975</v>
      </c>
      <c r="D46" s="86" t="n">
        <v>1103700</v>
      </c>
      <c r="E46" s="86" t="n">
        <v>210600</v>
      </c>
    </row>
    <row r="47">
      <c r="A47" s="71" t="n">
        <v>100000</v>
      </c>
      <c r="B47" s="71" t="n">
        <v>13000</v>
      </c>
      <c r="C47" s="87" t="n">
        <v>183950</v>
      </c>
      <c r="D47" s="87" t="n">
        <v>2207400</v>
      </c>
      <c r="E47" s="87" t="n">
        <v>421200</v>
      </c>
    </row>
    <row r="50">
      <c r="A50" s="40" t="inlineStr">
        <is>
          <t>5. WHY $17.99 STILL FEELS FAIR TO THE CREW</t>
        </is>
      </c>
    </row>
    <row r="51">
      <c r="A51" s="41" t="inlineStr">
        <is>
          <t>Competitor</t>
        </is>
      </c>
      <c r="B51" s="41" t="inlineStr">
        <is>
          <t>10 GB equivalent</t>
        </is>
      </c>
      <c r="C51" s="41" t="inlineStr">
        <is>
          <t>Vs Premium $17.99</t>
        </is>
      </c>
    </row>
    <row r="52">
      <c r="A52" s="48" t="inlineStr">
        <is>
          <t>Economy PAYG (10 × $4.99)</t>
        </is>
      </c>
      <c r="B52" s="48" t="inlineStr">
        <is>
          <t>$49.90</t>
        </is>
      </c>
      <c r="C52" s="39" t="inlineStr">
        <is>
          <t>Premium saves $32</t>
        </is>
      </c>
    </row>
    <row r="53">
      <c r="A53" s="48" t="inlineStr">
        <is>
          <t>Airalo Global 10 GB / 30d</t>
        </is>
      </c>
      <c r="B53" s="48" t="inlineStr">
        <is>
          <t>$26-35</t>
        </is>
      </c>
      <c r="C53" s="39" t="inlineStr">
        <is>
          <t>Premium 30-50% cheaper</t>
        </is>
      </c>
    </row>
    <row r="54">
      <c r="A54" s="48" t="inlineStr">
        <is>
          <t>Holafly Global unlimited (30d)</t>
        </is>
      </c>
      <c r="B54" s="48" t="inlineStr">
        <is>
          <t>$49.90</t>
        </is>
      </c>
      <c r="C54" s="39" t="inlineStr">
        <is>
          <t>Premium 64% cheaper, but capped</t>
        </is>
      </c>
    </row>
    <row r="55">
      <c r="A55" s="48" t="inlineStr">
        <is>
          <t>Saily Ultra 30 GB / 30d</t>
        </is>
      </c>
      <c r="B55" s="48" t="inlineStr">
        <is>
          <t>$59.99</t>
        </is>
      </c>
      <c r="C55" s="39" t="inlineStr">
        <is>
          <t>Different tier — Saily targets heavy travelers</t>
        </is>
      </c>
    </row>
    <row r="56">
      <c r="A56" s="48" t="inlineStr">
        <is>
          <t>Roster Bundle (5 flights, auto-arm)</t>
        </is>
      </c>
      <c r="B56" s="48" t="inlineStr">
        <is>
          <t>$19.95</t>
        </is>
      </c>
      <c r="C56" s="39" t="inlineStr">
        <is>
          <t>Premium $2 cheaper, no auto-arm tradeoff</t>
        </is>
      </c>
    </row>
    <row r="59">
      <c r="A59" s="40" t="inlineStr">
        <is>
          <t>6. UX MECHANICS &amp; TRANSPARENCY POLICY</t>
        </is>
      </c>
    </row>
    <row r="60">
      <c r="A60" s="43" t="inlineStr">
        <is>
          <t>Pool visibility</t>
        </is>
      </c>
      <c r="B60" s="64" t="inlineStr">
        <is>
          <t>User ALWAYS sees full 10 GB pool — never hidden</t>
        </is>
      </c>
    </row>
    <row r="61">
      <c r="A61" s="43" t="inlineStr">
        <is>
          <t>Active data display</t>
        </is>
      </c>
      <c r="B61" s="64" t="inlineStr">
        <is>
          <t>Default 1 GB. Refill button visible at all times.</t>
        </is>
      </c>
    </row>
    <row r="62">
      <c r="A62" s="43" t="inlineStr">
        <is>
          <t>Refill action</t>
        </is>
      </c>
      <c r="B62" s="64" t="inlineStr">
        <is>
          <t>One tap. No friction beyond the explicit action.</t>
        </is>
      </c>
    </row>
    <row r="63">
      <c r="A63" s="43" t="inlineStr">
        <is>
          <t>Day-25 reminder</t>
        </is>
      </c>
      <c r="B63" s="64" t="inlineStr">
        <is>
          <t>Push: "You have X GB unused. Refill for upcoming trips?"</t>
        </is>
      </c>
    </row>
    <row r="64">
      <c r="A64" s="43" t="inlineStr">
        <is>
          <t>Carryover transparency</t>
        </is>
      </c>
      <c r="B64" s="64" t="inlineStr">
        <is>
          <t>App shows: "Y GB will carry to next month, Z GB expires."</t>
        </is>
      </c>
    </row>
    <row r="65">
      <c r="A65" s="43" t="inlineStr">
        <is>
          <t>Locked policy</t>
        </is>
      </c>
      <c r="B65" s="64" t="inlineStr">
        <is>
          <t>We do NOT hide anything. Breakage we earn = forgetfulness, NOT deception.</t>
        </is>
      </c>
    </row>
    <row r="67">
      <c r="A67" s="40" t="inlineStr">
        <is>
          <t>7. SOURCES &amp; ASSUMPTIONS</t>
        </is>
      </c>
    </row>
    <row r="68">
      <c r="A68" s="39" t="inlineStr">
        <is>
          <t>• Price $17.99: chosen to sit $2 below Roster Bundle ($19.95) — preserves Roster as the wedge tier.</t>
        </is>
      </c>
    </row>
    <row r="69">
      <c r="A69" s="39" t="inlineStr">
        <is>
          <t>• 40% consumption: estimated friction-adjusted rate. Validate post-launch with usage telemetry.</t>
        </is>
      </c>
    </row>
    <row r="70">
      <c r="A70" s="39" t="inlineStr">
        <is>
          <t>• $1.34 blended wholesale: weighted across 75/20/5 Tier-A/B/C mix (updated 2026-06-01, was $1.20 at old 60/25/15).</t>
        </is>
      </c>
    </row>
    <row r="71">
      <c r="A71" s="39" t="inlineStr">
        <is>
          <t>• 20% refuel attach: lower than blended 34% — Premium users have pool buffer, less urgency.</t>
        </is>
      </c>
    </row>
    <row r="72">
      <c r="A72" s="39" t="inlineStr">
        <is>
          <t>• Crew interviews + WhatsApp validation queued for Akito.</t>
        </is>
      </c>
    </row>
    <row r="73">
      <c r="A73" s="39" t="inlineStr">
        <is>
          <t>• See [[Economy Logic]] and [[Roster Bundle Logic]] for tier comparisons.</t>
        </is>
      </c>
    </row>
    <row r="74">
      <c r="A74" s="39" t="inlineStr">
        <is>
          <t>• See [[Pricing Simulator]] tab for cross-tier price ladder.</t>
        </is>
      </c>
    </row>
  </sheetData>
  <mergeCells count="25">
    <mergeCell ref="B7:F7"/>
    <mergeCell ref="B62:F62"/>
    <mergeCell ref="A74:F74"/>
    <mergeCell ref="A2:F2"/>
    <mergeCell ref="A71:F71"/>
    <mergeCell ref="B12:F12"/>
    <mergeCell ref="B11:F11"/>
    <mergeCell ref="B60:F60"/>
    <mergeCell ref="B61:F61"/>
    <mergeCell ref="B14:F14"/>
    <mergeCell ref="B8:F8"/>
    <mergeCell ref="A72:F72"/>
    <mergeCell ref="B13:F13"/>
    <mergeCell ref="A68:F68"/>
    <mergeCell ref="B10:F10"/>
    <mergeCell ref="B9:F9"/>
    <mergeCell ref="B65:F65"/>
    <mergeCell ref="A73:F73"/>
    <mergeCell ref="B6:F6"/>
    <mergeCell ref="B64:F64"/>
    <mergeCell ref="A1:F1"/>
    <mergeCell ref="A70:F70"/>
    <mergeCell ref="B5:F5"/>
    <mergeCell ref="B63:F63"/>
    <mergeCell ref="A69:F69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2A4A8A"/>
    <outlinePr summaryBelow="1" summaryRight="1"/>
    <pageSetUpPr/>
  </sheetPr>
  <dimension ref="A1:F64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Business — math &amp; logic deep dive</t>
        </is>
      </c>
    </row>
    <row r="2">
      <c r="A2" s="39" t="inlineStr">
        <is>
          <t>The RECOMMENDED tier. 15 GB pool subscription for senior/regular crew. Best per-GB value across the ladder.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$29.99 / month (locked 2026-06-01)</t>
        </is>
      </c>
    </row>
    <row r="6">
      <c r="A6" s="43" t="inlineStr">
        <is>
          <t>Pool</t>
        </is>
      </c>
      <c r="B6" s="48" t="inlineStr">
        <is>
          <t>15 GB (global)</t>
        </is>
      </c>
    </row>
    <row r="7">
      <c r="A7" s="43" t="inlineStr">
        <is>
          <t>Carryover</t>
        </is>
      </c>
      <c r="B7" s="48" t="inlineStr">
        <is>
          <t>70% × 1 month (matches Premium for consistency)</t>
        </is>
      </c>
    </row>
    <row r="8">
      <c r="A8" s="43" t="inlineStr">
        <is>
          <t>UX</t>
        </is>
      </c>
      <c r="B8" s="48" t="inlineStr">
        <is>
          <t>Same 1-GB refill mechanic as Premium. Refill button visible.</t>
        </is>
      </c>
    </row>
    <row r="9">
      <c r="A9" s="43" t="inlineStr">
        <is>
          <t>Day-25 reminder</t>
        </is>
      </c>
      <c r="B9" s="48" t="inlineStr">
        <is>
          <t>Yes — same transparency policy</t>
        </is>
      </c>
    </row>
    <row r="10">
      <c r="A10" s="43" t="inlineStr">
        <is>
          <t>Coverage</t>
        </is>
      </c>
      <c r="B10" s="48" t="inlineStr">
        <is>
          <t>Global pool</t>
        </is>
      </c>
    </row>
    <row r="11">
      <c r="A11" s="43" t="inlineStr">
        <is>
          <t>Auto-arming</t>
        </is>
      </c>
      <c r="B11" s="48" t="inlineStr">
        <is>
          <t>NO — manual install (Roster Bundle is the auto-arm tier)</t>
        </is>
      </c>
    </row>
    <row r="12">
      <c r="A12" s="43" t="inlineStr">
        <is>
          <t>Perks</t>
        </is>
      </c>
      <c r="B12" s="48" t="inlineStr">
        <is>
          <t>Priority support + crew recs unlocked</t>
        </is>
      </c>
    </row>
    <row r="13">
      <c r="A13" s="43" t="inlineStr">
        <is>
          <t>Tier flag</t>
        </is>
      </c>
      <c r="B13" s="48" t="inlineStr">
        <is>
          <t>RECOMMENDED on price card</t>
        </is>
      </c>
    </row>
    <row r="14">
      <c r="A14" s="43" t="inlineStr">
        <is>
          <t>Persona</t>
        </is>
      </c>
      <c r="B14" s="48" t="inlineStr">
        <is>
          <t>Senior crew, full-rota crew, frequent travelers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29.99</v>
      </c>
      <c r="C18" s="39" t="inlineStr">
        <is>
          <t>Locked retail</t>
        </is>
      </c>
    </row>
    <row r="19">
      <c r="A19" s="48" t="inlineStr">
        <is>
          <t>GB Consumed (45% friction-adjusted)</t>
        </is>
      </c>
      <c r="B19" s="82" t="n">
        <v>6.75</v>
      </c>
      <c r="C19" s="39" t="inlineStr">
        <is>
          <t>Higher than Premium 40% — heavier users</t>
        </is>
      </c>
    </row>
    <row r="20">
      <c r="A20" s="48" t="inlineStr">
        <is>
          <t>Wholesale cost / GB blended</t>
        </is>
      </c>
      <c r="B20" s="54" t="n">
        <v>1.34</v>
      </c>
      <c r="C20" s="39" t="inlineStr">
        <is>
          <t>Same blended rate (75/20/5 mix, updated 2026-06-01)</t>
        </is>
      </c>
    </row>
    <row r="21">
      <c r="A21" s="48" t="inlineStr">
        <is>
          <t>Wholesale COGS / user</t>
        </is>
      </c>
      <c r="B21" s="54">
        <f>B19*B20</f>
        <v/>
      </c>
      <c r="C21" s="39">
        <f>GB × $/GB</f>
        <v/>
      </c>
    </row>
    <row r="22">
      <c r="A22" s="48" t="inlineStr">
        <is>
          <t>GB Carryover (next month)</t>
        </is>
      </c>
      <c r="B22" s="82">
        <f>(15-B19)*0.7</f>
        <v/>
      </c>
      <c r="C22" s="39" t="inlineStr">
        <is>
          <t>70% of unused rolls</t>
        </is>
      </c>
    </row>
    <row r="23">
      <c r="A23" s="48" t="inlineStr">
        <is>
          <t>GB Breakage</t>
        </is>
      </c>
      <c r="B23" s="82">
        <f>(15-B19)*0.3</f>
        <v/>
      </c>
      <c r="C23" s="39" t="inlineStr">
        <is>
          <t>30% expires immediately</t>
        </is>
      </c>
    </row>
    <row r="24">
      <c r="A24" s="48" t="inlineStr">
        <is>
          <t>Gross profit subscription</t>
        </is>
      </c>
      <c r="B24" s="54">
        <f>B18-B21</f>
        <v/>
      </c>
    </row>
    <row r="25">
      <c r="A25" s="48" t="inlineStr">
        <is>
          <t>Gross margin %</t>
        </is>
      </c>
      <c r="B25" s="26">
        <f>B24/B18</f>
        <v/>
      </c>
    </row>
    <row r="26">
      <c r="A26" s="48" t="inlineStr"/>
    </row>
    <row r="27">
      <c r="A27" s="48" t="inlineStr">
        <is>
          <t>Refuel attach %</t>
        </is>
      </c>
      <c r="B27" s="26" t="n">
        <v>0.25</v>
      </c>
      <c r="C27" s="39" t="inlineStr">
        <is>
          <t>Slightly higher than Premium</t>
        </is>
      </c>
    </row>
    <row r="28">
      <c r="A28" s="48" t="inlineStr">
        <is>
          <t>Refuel revenue</t>
        </is>
      </c>
      <c r="B28" s="54">
        <f>B27*5.99</f>
        <v/>
      </c>
    </row>
    <row r="29">
      <c r="A29" s="48" t="inlineStr">
        <is>
          <t>Refuel COGS</t>
        </is>
      </c>
      <c r="B29" s="54">
        <f>B27*B20</f>
        <v/>
      </c>
    </row>
    <row r="30">
      <c r="A30" s="48" t="inlineStr">
        <is>
          <t>Refuel net</t>
        </is>
      </c>
      <c r="B30" s="54">
        <f>B28-B29</f>
        <v/>
      </c>
    </row>
    <row r="31">
      <c r="A31" s="48" t="inlineStr"/>
    </row>
    <row r="32">
      <c r="A32" s="48" t="inlineStr">
        <is>
          <t>TOTAL profit per Business user / mo</t>
        </is>
      </c>
      <c r="B32" s="83">
        <f>B24+B30</f>
        <v/>
      </c>
    </row>
    <row r="33">
      <c r="A33" s="48" t="inlineStr">
        <is>
          <t>TOTAL all-in margin</t>
        </is>
      </c>
      <c r="B33" s="84">
        <f>B32/(B18+B28)</f>
        <v/>
      </c>
    </row>
    <row r="35">
      <c r="A35" s="40" t="inlineStr">
        <is>
          <t>3. UPGRADE STORY (Premium $17.99 → Business $29.99)</t>
        </is>
      </c>
    </row>
    <row r="36">
      <c r="A36" s="41" t="inlineStr">
        <is>
          <t>Metric</t>
        </is>
      </c>
      <c r="B36" s="41" t="inlineStr">
        <is>
          <t>Premium</t>
        </is>
      </c>
      <c r="C36" s="41" t="inlineStr">
        <is>
          <t>Business</t>
        </is>
      </c>
      <c r="D36" s="41" t="inlineStr">
        <is>
          <t>Delta</t>
        </is>
      </c>
    </row>
    <row r="37">
      <c r="A37" s="48" t="inlineStr">
        <is>
          <t>Price</t>
        </is>
      </c>
      <c r="B37" s="48" t="inlineStr">
        <is>
          <t>$17.99</t>
        </is>
      </c>
      <c r="C37" s="48" t="inlineStr">
        <is>
          <t>$29.99</t>
        </is>
      </c>
      <c r="D37" s="48" t="inlineStr">
        <is>
          <t>+$12</t>
        </is>
      </c>
    </row>
    <row r="38">
      <c r="A38" s="48" t="inlineStr">
        <is>
          <t>Pool</t>
        </is>
      </c>
      <c r="B38" s="48" t="inlineStr">
        <is>
          <t>10 GB</t>
        </is>
      </c>
      <c r="C38" s="48" t="inlineStr">
        <is>
          <t>15 GB</t>
        </is>
      </c>
      <c r="D38" s="48" t="inlineStr">
        <is>
          <t>+50% pool</t>
        </is>
      </c>
    </row>
    <row r="39">
      <c r="A39" s="48" t="inlineStr">
        <is>
          <t>Per-GB</t>
        </is>
      </c>
      <c r="B39" s="48" t="inlineStr">
        <is>
          <t>$1.80</t>
        </is>
      </c>
      <c r="C39" s="48" t="inlineStr">
        <is>
          <t>$2.00</t>
        </is>
      </c>
      <c r="D39" s="48" t="inlineStr">
        <is>
          <t>+11¢/GB (still under Airalo)</t>
        </is>
      </c>
    </row>
    <row r="40">
      <c r="A40" s="48" t="inlineStr">
        <is>
          <t>Carryover</t>
        </is>
      </c>
      <c r="B40" s="48" t="inlineStr">
        <is>
          <t>50% × 1mo</t>
        </is>
      </c>
      <c r="C40" s="48" t="inlineStr">
        <is>
          <t>70% × 1mo</t>
        </is>
      </c>
      <c r="D40" s="48" t="inlineStr">
        <is>
          <t>+20pts retention</t>
        </is>
      </c>
    </row>
    <row r="41">
      <c r="A41" s="48" t="inlineStr">
        <is>
          <t>Perks</t>
        </is>
      </c>
      <c r="B41" s="48" t="inlineStr">
        <is>
          <t>Lounge guides</t>
        </is>
      </c>
      <c r="C41" s="48" t="inlineStr">
        <is>
          <t>+Priority support, +Crew recs</t>
        </is>
      </c>
      <c r="D41" s="48" t="inlineStr">
        <is>
          <t>Real upgrade</t>
        </is>
      </c>
    </row>
    <row r="43">
      <c r="A43" s="40" t="inlineStr">
        <is>
          <t>4. AT SCALE (Business = 8% of users per Tab 1 mix)</t>
        </is>
      </c>
    </row>
    <row r="44">
      <c r="A44" s="41" t="inlineStr">
        <is>
          <t>Total users</t>
        </is>
      </c>
      <c r="B44" s="41" t="inlineStr">
        <is>
          <t>Business users (8%)</t>
        </is>
      </c>
      <c r="C44" s="41" t="inlineStr">
        <is>
          <t>Monthly profit</t>
        </is>
      </c>
      <c r="D44" s="41" t="inlineStr">
        <is>
          <t>Annual profit</t>
        </is>
      </c>
    </row>
    <row r="45">
      <c r="A45" s="71" t="n">
        <v>1000</v>
      </c>
      <c r="B45" s="71" t="n">
        <v>80</v>
      </c>
      <c r="C45" s="86" t="n">
        <v>1847.2</v>
      </c>
      <c r="D45" s="86" t="n">
        <v>22166.4</v>
      </c>
    </row>
    <row r="46">
      <c r="A46" s="71" t="n">
        <v>5000</v>
      </c>
      <c r="B46" s="71" t="n">
        <v>400</v>
      </c>
      <c r="C46" s="86" t="n">
        <v>9236</v>
      </c>
      <c r="D46" s="86" t="n">
        <v>110832</v>
      </c>
    </row>
    <row r="47">
      <c r="A47" s="71" t="n">
        <v>10000</v>
      </c>
      <c r="B47" s="71" t="n">
        <v>800</v>
      </c>
      <c r="C47" s="86" t="n">
        <v>18472</v>
      </c>
      <c r="D47" s="86" t="n">
        <v>221664</v>
      </c>
    </row>
    <row r="48">
      <c r="A48" s="71" t="n">
        <v>50000</v>
      </c>
      <c r="B48" s="71" t="n">
        <v>4000</v>
      </c>
      <c r="C48" s="86" t="n">
        <v>92360</v>
      </c>
      <c r="D48" s="86" t="n">
        <v>1108320</v>
      </c>
    </row>
    <row r="49">
      <c r="A49" s="71" t="n">
        <v>100000</v>
      </c>
      <c r="B49" s="71" t="n">
        <v>8000</v>
      </c>
      <c r="C49" s="87" t="n">
        <v>184720</v>
      </c>
      <c r="D49" s="87" t="n">
        <v>2216640</v>
      </c>
    </row>
    <row r="52">
      <c r="A52" s="40" t="inlineStr">
        <is>
          <t>5. WHY $29.99 IS THE RIGHT PRICE</t>
        </is>
      </c>
    </row>
    <row r="53">
      <c r="A53" s="41" t="inlineStr">
        <is>
          <t>Competitor</t>
        </is>
      </c>
      <c r="B53" s="41" t="inlineStr">
        <is>
          <t>Plan</t>
        </is>
      </c>
      <c r="C53" s="41" t="inlineStr">
        <is>
          <t>Price</t>
        </is>
      </c>
      <c r="D53" s="41" t="inlineStr">
        <is>
          <t>Per-GB</t>
        </is>
      </c>
      <c r="E53" s="41" t="inlineStr">
        <is>
          <t>Vs Peanut Business</t>
        </is>
      </c>
    </row>
    <row r="54">
      <c r="A54" s="48" t="inlineStr">
        <is>
          <t>Airalo</t>
        </is>
      </c>
      <c r="B54" s="48" t="inlineStr">
        <is>
          <t>Global 20 GB / 30d</t>
        </is>
      </c>
      <c r="C54" s="48" t="inlineStr">
        <is>
          <t>$50</t>
        </is>
      </c>
      <c r="D54" s="48" t="inlineStr">
        <is>
          <t>$2.50</t>
        </is>
      </c>
      <c r="E54" s="48" t="inlineStr">
        <is>
          <t>We are 40% cheaper</t>
        </is>
      </c>
    </row>
    <row r="55">
      <c r="A55" s="48" t="inlineStr">
        <is>
          <t>Saily</t>
        </is>
      </c>
      <c r="B55" s="48" t="inlineStr">
        <is>
          <t>Standard 10 GB / 30d</t>
        </is>
      </c>
      <c r="C55" s="48" t="inlineStr">
        <is>
          <t>$30-35</t>
        </is>
      </c>
      <c r="D55" s="48" t="inlineStr">
        <is>
          <t>$3.00</t>
        </is>
      </c>
      <c r="E55" s="48" t="inlineStr">
        <is>
          <t>We give 5 more GB</t>
        </is>
      </c>
    </row>
    <row r="56">
      <c r="A56" s="48" t="inlineStr">
        <is>
          <t>Holafly</t>
        </is>
      </c>
      <c r="B56" s="48" t="inlineStr">
        <is>
          <t>Global unlimited 15d</t>
        </is>
      </c>
      <c r="C56" s="48" t="inlineStr">
        <is>
          <t>$40</t>
        </is>
      </c>
      <c r="D56" s="48" t="inlineStr">
        <is>
          <t>n/a</t>
        </is>
      </c>
      <c r="E56" s="48" t="inlineStr">
        <is>
          <t>We have predictable usage</t>
        </is>
      </c>
    </row>
    <row r="57">
      <c r="A57" s="48" t="inlineStr">
        <is>
          <t>Roster Bundle (Peanut)</t>
        </is>
      </c>
      <c r="B57" s="48" t="inlineStr">
        <is>
          <t>7 flights bundled</t>
        </is>
      </c>
      <c r="C57" s="48" t="inlineStr">
        <is>
          <t>$27.93</t>
        </is>
      </c>
      <c r="D57" s="48" t="inlineStr">
        <is>
          <t>n/a</t>
        </is>
      </c>
      <c r="E57" s="48" t="inlineStr">
        <is>
          <t>Different model — auto-arm</t>
        </is>
      </c>
    </row>
    <row r="58">
      <c r="A58" s="48" t="inlineStr">
        <is>
          <t>Crew SIM</t>
        </is>
      </c>
      <c r="B58" s="48" t="inlineStr">
        <is>
          <t>PAYG per country</t>
        </is>
      </c>
      <c r="C58" s="48" t="inlineStr">
        <is>
          <t>$3-7/GB</t>
        </is>
      </c>
      <c r="D58" s="48" t="inlineStr">
        <is>
          <t>varies</t>
        </is>
      </c>
      <c r="E58" s="48" t="inlineStr">
        <is>
          <t>We bundle 15 GB for $29.99</t>
        </is>
      </c>
    </row>
    <row r="61">
      <c r="A61" s="40" t="inlineStr">
        <is>
          <t>6. DECISION LOG</t>
        </is>
      </c>
    </row>
    <row r="62">
      <c r="A62" s="43" t="inlineStr">
        <is>
          <t>2026-06-01: Price locked at $29.99 (up from $24.99 placeholder)</t>
        </is>
      </c>
      <c r="B62" s="64" t="inlineStr">
        <is>
          <t>Balraj decision. Premium-to-Business ladder gap of $12 = meaningful upgrade signal. Market room (Airalo $50) supports it. Revisit at month 6 with usage data.</t>
        </is>
      </c>
    </row>
    <row r="63">
      <c r="A63" s="43" t="inlineStr">
        <is>
          <t>2026-06-01: Carry-over locked at 70% × 1 month (down from × 2)</t>
        </is>
      </c>
      <c r="B63" s="64" t="inlineStr">
        <is>
          <t>Consistent with Premium Economy. Shorter carry = more breakage = higher margin.</t>
        </is>
      </c>
    </row>
    <row r="64">
      <c r="A64" s="43" t="inlineStr">
        <is>
          <t>2026-06-01: 1-GB refill UX locked (same as Premium)</t>
        </is>
      </c>
      <c r="B64" s="64" t="inlineStr">
        <is>
          <t>Transparent. Pool always visible. Day-25 reminder. Breakage = honest forgetfulness only.</t>
        </is>
      </c>
    </row>
  </sheetData>
  <mergeCells count="15">
    <mergeCell ref="A2:F2"/>
    <mergeCell ref="B12:F12"/>
    <mergeCell ref="B7:F7"/>
    <mergeCell ref="B6:F6"/>
    <mergeCell ref="B62:F62"/>
    <mergeCell ref="B64:F64"/>
    <mergeCell ref="B10:F10"/>
    <mergeCell ref="A1:F1"/>
    <mergeCell ref="B11:F11"/>
    <mergeCell ref="B5:F5"/>
    <mergeCell ref="B63:F63"/>
    <mergeCell ref="B14:F14"/>
    <mergeCell ref="B8:F8"/>
    <mergeCell ref="B9:F9"/>
    <mergeCell ref="B13:F13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— math &amp; logic deep dive</t>
        </is>
      </c>
    </row>
    <row r="2">
      <c r="A2" s="39" t="inlineStr">
        <is>
          <t>Top tier for senior crew. 20 GB / $39.99. 100% × 2mo carryover. Concierge support.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$39.99 / month (locked 2026-06-01)</t>
        </is>
      </c>
    </row>
    <row r="6">
      <c r="A6" s="43" t="inlineStr">
        <is>
          <t>Pool</t>
        </is>
      </c>
      <c r="B6" s="48" t="inlineStr">
        <is>
          <t>25 GB (global) — locked 2026-06-01</t>
        </is>
      </c>
    </row>
    <row r="7">
      <c r="A7" s="43" t="inlineStr">
        <is>
          <t>Carryover</t>
        </is>
      </c>
      <c r="B7" s="48" t="inlineStr">
        <is>
          <t>100% × 2 months (premium differentiator)</t>
        </is>
      </c>
    </row>
    <row r="8">
      <c r="A8" s="43" t="inlineStr">
        <is>
          <t>UX</t>
        </is>
      </c>
      <c r="B8" s="48" t="inlineStr">
        <is>
          <t>1-GB refill mechanic — same as Premium/Business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 (Roster Bundle is auto-arm tier)</t>
        </is>
      </c>
    </row>
    <row r="11">
      <c r="A11" s="43" t="inlineStr">
        <is>
          <t>Perks</t>
        </is>
      </c>
      <c r="B11" s="48" t="inlineStr">
        <is>
          <t>Priority support + crew recs + concierge layer</t>
        </is>
      </c>
    </row>
    <row r="12">
      <c r="A12" s="43" t="inlineStr">
        <is>
          <t>Persona</t>
        </is>
      </c>
      <c r="B12" s="48" t="inlineStr">
        <is>
          <t>Senior crew, purser-grade, frequent long-haul</t>
        </is>
      </c>
    </row>
    <row r="15">
      <c r="A15" s="40" t="inlineStr">
        <is>
          <t>2. PER-USER MONTHLY MATH</t>
        </is>
      </c>
    </row>
    <row r="16">
      <c r="A16" s="41" t="inlineStr">
        <is>
          <t>Line</t>
        </is>
      </c>
      <c r="B16" s="41" t="inlineStr">
        <is>
          <t>Value</t>
        </is>
      </c>
      <c r="C16" s="41" t="inlineStr">
        <is>
          <t>Notes</t>
        </is>
      </c>
    </row>
    <row r="17">
      <c r="A17" s="48" t="inlineStr">
        <is>
          <t>Subscription revenue</t>
        </is>
      </c>
      <c r="B17" s="54" t="n">
        <v>39.99</v>
      </c>
      <c r="C17" s="39" t="inlineStr">
        <is>
          <t>Locked retail</t>
        </is>
      </c>
    </row>
    <row r="18">
      <c r="A18" s="48" t="inlineStr">
        <is>
          <t>GB Consumed (80% friction + 20% pool-capped)</t>
        </is>
      </c>
      <c r="B18" s="82" t="n">
        <v>13.6</v>
      </c>
      <c r="C18" s="39" t="inlineStr">
        <is>
          <t>Heavier users than Business</t>
        </is>
      </c>
    </row>
    <row r="19">
      <c r="A19" s="48" t="inlineStr">
        <is>
          <t>Wholesale cost / GB</t>
        </is>
      </c>
      <c r="B19" s="54" t="n">
        <v>1.34</v>
      </c>
      <c r="C19" s="39" t="inlineStr">
        <is>
          <t>Same blended rate (75/20/5 mix, updated 2026-06-01)</t>
        </is>
      </c>
    </row>
    <row r="20">
      <c r="A20" s="48" t="inlineStr">
        <is>
          <t>Wholesale COGS</t>
        </is>
      </c>
      <c r="B20" s="54">
        <f>B18*B19</f>
        <v/>
      </c>
      <c r="C20" s="39" t="inlineStr">
        <is>
          <t>13.6 × $1.34</t>
        </is>
      </c>
    </row>
    <row r="21">
      <c r="A21" s="48" t="inlineStr">
        <is>
          <t>GB Carryover bank</t>
        </is>
      </c>
      <c r="B21" s="82">
        <f>(25-B18)*1.0</f>
        <v/>
      </c>
      <c r="C21" s="39" t="inlineStr">
        <is>
          <t>100% rolls, lasts 2 months</t>
        </is>
      </c>
    </row>
    <row r="22">
      <c r="A22" s="48" t="inlineStr">
        <is>
          <t>Refuel attach</t>
        </is>
      </c>
      <c r="B22" s="26" t="n">
        <v>0.4</v>
      </c>
      <c r="C22" s="39" t="inlineStr">
        <is>
          <t>Higher than 30% — pool fills faster</t>
        </is>
      </c>
    </row>
    <row r="23">
      <c r="A23" s="48" t="inlineStr">
        <is>
          <t>Refuel revenue</t>
        </is>
      </c>
      <c r="B23" s="54">
        <f>B22*4.99</f>
        <v/>
      </c>
    </row>
    <row r="24">
      <c r="A24" s="48" t="inlineStr">
        <is>
          <t>Refuel COGS</t>
        </is>
      </c>
      <c r="B24" s="54">
        <f>B22*B19</f>
        <v/>
      </c>
    </row>
    <row r="25">
      <c r="A25" s="48" t="inlineStr">
        <is>
          <t>TOTAL profit per user / mo</t>
        </is>
      </c>
      <c r="B25" s="83">
        <f>B17-B20+B23-B24</f>
        <v/>
      </c>
      <c r="C25" s="39" t="inlineStr">
        <is>
          <t>Locked in working math</t>
        </is>
      </c>
    </row>
    <row r="26">
      <c r="A26" s="48" t="inlineStr">
        <is>
          <t>TOTAL margin</t>
        </is>
      </c>
      <c r="B26" s="84">
        <f>B25/(B17+B23)</f>
        <v/>
      </c>
    </row>
    <row r="29">
      <c r="A29" s="40" t="inlineStr">
        <is>
          <t>3. AT SCALE (3% of users)</t>
        </is>
      </c>
    </row>
    <row r="30">
      <c r="A30" s="41" t="inlineStr">
        <is>
          <t>Total users</t>
        </is>
      </c>
      <c r="B30" s="41" t="inlineStr">
        <is>
          <t>First users</t>
        </is>
      </c>
      <c r="C30" s="41" t="inlineStr">
        <is>
          <t>Monthly profit</t>
        </is>
      </c>
      <c r="D30" s="41" t="inlineStr">
        <is>
          <t>Annual profit</t>
        </is>
      </c>
    </row>
    <row r="31">
      <c r="A31" s="71" t="n">
        <v>1000</v>
      </c>
      <c r="B31" s="71" t="n">
        <v>30</v>
      </c>
      <c r="C31" s="86" t="n">
        <v>696.78</v>
      </c>
      <c r="D31" s="86" t="n">
        <v>8361.360000000001</v>
      </c>
    </row>
    <row r="32">
      <c r="A32" s="71" t="n">
        <v>5000</v>
      </c>
      <c r="B32" s="71" t="n">
        <v>150</v>
      </c>
      <c r="C32" s="86" t="n">
        <v>3483.9</v>
      </c>
      <c r="D32" s="86" t="n">
        <v>41806.8</v>
      </c>
    </row>
    <row r="33">
      <c r="A33" s="71" t="n">
        <v>10000</v>
      </c>
      <c r="B33" s="71" t="n">
        <v>300</v>
      </c>
      <c r="C33" s="86" t="n">
        <v>6967.799999999999</v>
      </c>
      <c r="D33" s="86" t="n">
        <v>83613.59999999999</v>
      </c>
    </row>
    <row r="34">
      <c r="A34" s="71" t="n">
        <v>50000</v>
      </c>
      <c r="B34" s="71" t="n">
        <v>1500</v>
      </c>
      <c r="C34" s="86" t="n">
        <v>34839</v>
      </c>
      <c r="D34" s="86" t="n">
        <v>418068</v>
      </c>
    </row>
    <row r="35">
      <c r="A35" s="71" t="n">
        <v>100000</v>
      </c>
      <c r="B35" s="71" t="n">
        <v>3000</v>
      </c>
      <c r="C35" s="87" t="n">
        <v>69678</v>
      </c>
      <c r="D35" s="87" t="n">
        <v>836136</v>
      </c>
    </row>
    <row r="37">
      <c r="A37" s="40" t="inlineStr">
        <is>
          <t>4. DECISION LOG</t>
        </is>
      </c>
    </row>
    <row r="38">
      <c r="A38" s="43" t="inlineStr">
        <is>
          <t>2026-06-01: Two-option First (First + First Suite)</t>
        </is>
      </c>
      <c r="B38" s="64" t="inlineStr">
        <is>
          <t>Locked: $39.99/20GB + $49.99/30GB. Captures buyers who think Business is too small but Suite is too much. Mirrors Emirates First / First Suite cabin naming.</t>
        </is>
      </c>
    </row>
    <row r="39">
      <c r="A39" s="43" t="inlineStr">
        <is>
          <t>2026-06-01: 100% × 2 months carryover</t>
        </is>
      </c>
      <c r="B39" s="64" t="inlineStr">
        <is>
          <t>Longer bank than Premium/Business (1 month). The carryover length is the premium differentiator.</t>
        </is>
      </c>
    </row>
    <row r="40">
      <c r="A40" s="43" t="inlineStr">
        <is>
          <t>2026-06-01: 1-GB refill UX</t>
        </is>
      </c>
      <c r="B40" s="64" t="inlineStr">
        <is>
          <t>Consistent with Premium/Business. Transparent pool visibility.</t>
        </is>
      </c>
    </row>
    <row r="41">
      <c r="A41" s="43" t="inlineStr">
        <is>
          <t>2026-06-01 (LOCKED): Pool bumped 20 → 25 GB</t>
        </is>
      </c>
      <c r="B41" s="90" t="inlineStr">
        <is>
          <t>Same $39.99 price. Pool expansion is free to us (1-GB friction caps consumption at ~13-14 GB regardless of pool). Better value perception, same margin.</t>
        </is>
      </c>
    </row>
  </sheetData>
  <mergeCells count="13">
    <mergeCell ref="A2:F2"/>
    <mergeCell ref="B12:F12"/>
    <mergeCell ref="B7:F7"/>
    <mergeCell ref="B39:F39"/>
    <mergeCell ref="B6:F6"/>
    <mergeCell ref="B38:F38"/>
    <mergeCell ref="B10:F10"/>
    <mergeCell ref="A1:F1"/>
    <mergeCell ref="B11:F11"/>
    <mergeCell ref="B5:F5"/>
    <mergeCell ref="B8:F8"/>
    <mergeCell ref="B40:F40"/>
    <mergeCell ref="B9:F9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42"/>
  <sheetViews>
    <sheetView workbookViewId="0">
      <selection activeCell="A1" sqref="A1"/>
    </sheetView>
  </sheetViews>
  <sheetFormatPr baseColWidth="8" defaultRowHeight="15"/>
  <cols>
    <col width="30" customWidth="1" min="1" max="1"/>
    <col width="18" customWidth="1" min="2" max="2"/>
    <col width="18" customWidth="1" min="3" max="3"/>
    <col width="18" customWidth="1" min="4" max="4"/>
    <col width="22" customWidth="1" min="5" max="5"/>
    <col width="18" customWidth="1" min="6" max="6"/>
  </cols>
  <sheetData>
    <row r="1">
      <c r="A1" s="53" t="inlineStr">
        <is>
          <t>First Suite — math &amp; logic deep dive</t>
        </is>
      </c>
    </row>
    <row r="2">
      <c r="A2" s="39" t="inlineStr">
        <is>
          <t>Top of the ladder. 30 GB / $49.99. Best per-GB on the entire price card. Concierge + everything.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48" t="inlineStr">
        <is>
          <t>$49.99 / month (locked 2026-06-01)</t>
        </is>
      </c>
    </row>
    <row r="6">
      <c r="A6" s="43" t="inlineStr">
        <is>
          <t>Pool</t>
        </is>
      </c>
      <c r="B6" s="48" t="inlineStr">
        <is>
          <t>40 GB (global) — locked 2026-06-01</t>
        </is>
      </c>
    </row>
    <row r="7">
      <c r="A7" s="43" t="inlineStr">
        <is>
          <t>Carryover</t>
        </is>
      </c>
      <c r="B7" s="48" t="inlineStr">
        <is>
          <t>100% × 2 months</t>
        </is>
      </c>
    </row>
    <row r="8">
      <c r="A8" s="43" t="inlineStr">
        <is>
          <t>UX</t>
        </is>
      </c>
      <c r="B8" s="48" t="inlineStr">
        <is>
          <t>1-GB refill mechanic — same as Premium/Business/First</t>
        </is>
      </c>
    </row>
    <row r="9">
      <c r="A9" s="43" t="inlineStr">
        <is>
          <t>Coverage</t>
        </is>
      </c>
      <c r="B9" s="48" t="inlineStr">
        <is>
          <t>Global pool</t>
        </is>
      </c>
    </row>
    <row r="10">
      <c r="A10" s="43" t="inlineStr">
        <is>
          <t>Auto-arming</t>
        </is>
      </c>
      <c r="B10" s="48" t="inlineStr">
        <is>
          <t>NO — manual install</t>
        </is>
      </c>
    </row>
    <row r="11">
      <c r="A11" s="43" t="inlineStr">
        <is>
          <t>Perks</t>
        </is>
      </c>
      <c r="B11" s="48" t="inlineStr">
        <is>
          <t>Concierge support + crew recs + priority + status badge</t>
        </is>
      </c>
    </row>
    <row r="12">
      <c r="A12" s="43" t="inlineStr">
        <is>
          <t>Persona</t>
        </is>
      </c>
      <c r="B12" s="48" t="inlineStr">
        <is>
          <t>Heaviest travelers, top purser, lead crew, frequent fliers</t>
        </is>
      </c>
    </row>
    <row r="13">
      <c r="A13" s="43" t="inlineStr">
        <is>
          <t>Strategic role</t>
        </is>
      </c>
      <c r="B13" s="48" t="inlineStr">
        <is>
          <t>Best per-GB on the ladder. The anchor product.</t>
        </is>
      </c>
    </row>
    <row r="16">
      <c r="A16" s="40" t="inlineStr">
        <is>
          <t>2. PER-USER MONTHLY MATH</t>
        </is>
      </c>
    </row>
    <row r="17">
      <c r="A17" s="41" t="inlineStr">
        <is>
          <t>Line</t>
        </is>
      </c>
      <c r="B17" s="41" t="inlineStr">
        <is>
          <t>Value</t>
        </is>
      </c>
      <c r="C17" s="41" t="inlineStr">
        <is>
          <t>Notes</t>
        </is>
      </c>
    </row>
    <row r="18">
      <c r="A18" s="48" t="inlineStr">
        <is>
          <t>Subscription revenue</t>
        </is>
      </c>
      <c r="B18" s="54" t="n">
        <v>49.99</v>
      </c>
      <c r="C18" s="39" t="inlineStr">
        <is>
          <t>Locked retail</t>
        </is>
      </c>
    </row>
    <row r="19">
      <c r="A19" s="48" t="inlineStr">
        <is>
          <t>GB Consumed (80% friction + 20% capped at need)</t>
        </is>
      </c>
      <c r="B19" s="82" t="n">
        <v>13.2</v>
      </c>
      <c r="C19" s="39" t="inlineStr">
        <is>
          <t>Similar to First — friction is the limiter</t>
        </is>
      </c>
    </row>
    <row r="20">
      <c r="A20" s="48" t="inlineStr">
        <is>
          <t>Wholesale cost / GB</t>
        </is>
      </c>
      <c r="B20" s="54" t="n">
        <v>1.34</v>
      </c>
    </row>
    <row r="21">
      <c r="A21" s="48" t="inlineStr">
        <is>
          <t>Wholesale COGS</t>
        </is>
      </c>
      <c r="B21" s="54">
        <f>B19*B20</f>
        <v/>
      </c>
      <c r="C21" s="39" t="inlineStr">
        <is>
          <t>13.2 × $1.34</t>
        </is>
      </c>
    </row>
    <row r="22">
      <c r="A22" s="48" t="inlineStr">
        <is>
          <t>GB Carryover bank</t>
        </is>
      </c>
      <c r="B22" s="82">
        <f>(40-B19)*1.0</f>
        <v/>
      </c>
      <c r="C22" s="39" t="inlineStr">
        <is>
          <t>100% rolls, lasts 2 months — biggest bank on ladder</t>
        </is>
      </c>
    </row>
    <row r="23">
      <c r="A23" s="48" t="inlineStr">
        <is>
          <t>Refuel attach</t>
        </is>
      </c>
      <c r="B23" s="26" t="n">
        <v>0.2</v>
      </c>
      <c r="C23" s="39" t="inlineStr">
        <is>
          <t>Lower — pool rarely runs out</t>
        </is>
      </c>
    </row>
    <row r="24">
      <c r="A24" s="48" t="inlineStr">
        <is>
          <t>Refuel revenue</t>
        </is>
      </c>
      <c r="B24" s="54">
        <f>B23*4.99</f>
        <v/>
      </c>
    </row>
    <row r="25">
      <c r="A25" s="48" t="inlineStr">
        <is>
          <t>Refuel COGS</t>
        </is>
      </c>
      <c r="B25" s="54">
        <f>B23*B20</f>
        <v/>
      </c>
    </row>
    <row r="26">
      <c r="A26" s="48" t="inlineStr">
        <is>
          <t>TOTAL profit per user / mo</t>
        </is>
      </c>
      <c r="B26" s="83">
        <f>B18-B21+B24-B25</f>
        <v/>
      </c>
    </row>
    <row r="27">
      <c r="A27" s="48" t="inlineStr">
        <is>
          <t>TOTAL margin</t>
        </is>
      </c>
      <c r="B27" s="84">
        <f>B26/(B18+B24)</f>
        <v/>
      </c>
    </row>
    <row r="30">
      <c r="A30" s="40" t="inlineStr">
        <is>
          <t>3. AT SCALE (2% of users)</t>
        </is>
      </c>
    </row>
    <row r="31">
      <c r="A31" s="41" t="inlineStr">
        <is>
          <t>Total users</t>
        </is>
      </c>
      <c r="B31" s="41" t="inlineStr">
        <is>
          <t>First Suite users</t>
        </is>
      </c>
      <c r="C31" s="41" t="inlineStr">
        <is>
          <t>Monthly profit</t>
        </is>
      </c>
      <c r="D31" s="41" t="inlineStr">
        <is>
          <t>Annual profit</t>
        </is>
      </c>
    </row>
    <row r="32">
      <c r="A32" s="71" t="n">
        <v>1000</v>
      </c>
      <c r="B32" s="71" t="n">
        <v>20</v>
      </c>
      <c r="C32" s="86" t="n">
        <v>660.6400000000001</v>
      </c>
      <c r="D32" s="86" t="n">
        <v>7927.680000000001</v>
      </c>
    </row>
    <row r="33">
      <c r="A33" s="71" t="n">
        <v>5000</v>
      </c>
      <c r="B33" s="71" t="n">
        <v>100</v>
      </c>
      <c r="C33" s="86" t="n">
        <v>3303.2</v>
      </c>
      <c r="D33" s="86" t="n">
        <v>39638.4</v>
      </c>
    </row>
    <row r="34">
      <c r="A34" s="71" t="n">
        <v>10000</v>
      </c>
      <c r="B34" s="71" t="n">
        <v>200</v>
      </c>
      <c r="C34" s="86" t="n">
        <v>6606.400000000001</v>
      </c>
      <c r="D34" s="86" t="n">
        <v>79276.8</v>
      </c>
    </row>
    <row r="35">
      <c r="A35" s="71" t="n">
        <v>50000</v>
      </c>
      <c r="B35" s="71" t="n">
        <v>1000</v>
      </c>
      <c r="C35" s="86" t="n">
        <v>33032</v>
      </c>
      <c r="D35" s="86" t="n">
        <v>396384</v>
      </c>
    </row>
    <row r="36">
      <c r="A36" s="71" t="n">
        <v>100000</v>
      </c>
      <c r="B36" s="71" t="n">
        <v>2000</v>
      </c>
      <c r="C36" s="87" t="n">
        <v>66064</v>
      </c>
      <c r="D36" s="87" t="n">
        <v>792768</v>
      </c>
    </row>
    <row r="38">
      <c r="A38" s="40" t="inlineStr">
        <is>
          <t>4. DECISION LOG</t>
        </is>
      </c>
    </row>
    <row r="39">
      <c r="A39" s="43" t="inlineStr">
        <is>
          <t>2026-06-01: First Suite split from First</t>
        </is>
      </c>
      <c r="B39" s="64" t="inlineStr">
        <is>
          <t>Created as the top-of-ladder product. 30 GB / $49.99 = $1.67/GB = best per-GB on entire price card.</t>
        </is>
      </c>
    </row>
    <row r="40">
      <c r="A40" s="43" t="inlineStr">
        <is>
          <t>2026-06-01: 100% × 2 months carryover</t>
        </is>
      </c>
      <c r="B40" s="64" t="inlineStr">
        <is>
          <t>Longest carry bank on the ladder. Premium differentiator.</t>
        </is>
      </c>
    </row>
    <row r="41">
      <c r="A41" s="43" t="inlineStr">
        <is>
          <t>2026-06-01: Per-GB anchor strategy</t>
        </is>
      </c>
      <c r="B41" s="64" t="inlineStr">
        <is>
          <t>At $1.67/GB, undercuts Business ($2.00/GB) on unit price → creates upgrade pull. Volume amortizes higher COGS.</t>
        </is>
      </c>
    </row>
    <row r="42">
      <c r="A42" s="43" t="inlineStr">
        <is>
          <t>2026-06-01 (LOCKED): Pool bumped 30 → 40 GB</t>
        </is>
      </c>
      <c r="B42" s="90" t="inlineStr">
        <is>
          <t>Same $49.99 price. $1.25/GB = best per-GB on entire ladder. Anchor product.</t>
        </is>
      </c>
    </row>
  </sheetData>
  <mergeCells count="14">
    <mergeCell ref="A2:F2"/>
    <mergeCell ref="B12:F12"/>
    <mergeCell ref="B7:F7"/>
    <mergeCell ref="B39:F39"/>
    <mergeCell ref="B6:F6"/>
    <mergeCell ref="B10:F10"/>
    <mergeCell ref="A1:F1"/>
    <mergeCell ref="B11:F11"/>
    <mergeCell ref="B41:F41"/>
    <mergeCell ref="B5:F5"/>
    <mergeCell ref="B8:F8"/>
    <mergeCell ref="B40:F40"/>
    <mergeCell ref="B9:F9"/>
    <mergeCell ref="B13:F13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6B3FA0"/>
    <outlinePr summaryBelow="1" summaryRight="1"/>
    <pageSetUpPr/>
  </sheetPr>
  <dimension ref="A1:F60"/>
  <sheetViews>
    <sheetView workbookViewId="0">
      <selection activeCell="A1" sqref="A1"/>
    </sheetView>
  </sheetViews>
  <sheetFormatPr baseColWidth="8" defaultRowHeight="15"/>
  <cols>
    <col width="32" customWidth="1" min="1" max="1"/>
    <col width="22" customWidth="1" min="2" max="2"/>
    <col width="22" customWidth="1" min="3" max="3"/>
    <col width="22" customWidth="1" min="4" max="4"/>
    <col width="22" customWidth="1" min="5" max="5"/>
    <col width="18" customWidth="1" min="6" max="6"/>
  </cols>
  <sheetData>
    <row r="1">
      <c r="A1" s="53" t="inlineStr">
        <is>
          <t>Cockpit — math &amp; logic deep dive</t>
        </is>
      </c>
    </row>
    <row r="2">
      <c r="A2" s="39" t="inlineStr">
        <is>
          <t>"You be the pilot" — annual lockin tier. Pay once, fly anywhere for a year. Schedule changes? Doesn't matter. Set it for a year, stop thinking about it.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$299 / year (annual prepay only)</t>
        </is>
      </c>
    </row>
    <row r="6">
      <c r="A6" s="43" t="inlineStr">
        <is>
          <t>Monthly equivalent</t>
        </is>
      </c>
      <c r="B6" s="64" t="inlineStr">
        <is>
          <t>$24.92 (for ladder display only — no monthly billing option)</t>
        </is>
      </c>
    </row>
    <row r="7">
      <c r="A7" s="43" t="inlineStr">
        <is>
          <t>Monthly pool</t>
        </is>
      </c>
      <c r="B7" s="64" t="inlineStr">
        <is>
          <t>12 GB</t>
        </is>
      </c>
    </row>
    <row r="8">
      <c r="A8" s="43" t="inlineStr">
        <is>
          <t>Carryover</t>
        </is>
      </c>
      <c r="B8" s="64" t="inlineStr">
        <is>
          <t>100% × 2 months on monthly pool</t>
        </is>
      </c>
    </row>
    <row r="9">
      <c r="A9" s="43" t="inlineStr">
        <is>
          <t>Emergency bank</t>
        </is>
      </c>
      <c r="B9" s="64" t="inlineStr">
        <is>
          <t>12 GB lifetime — REFRESHES ANNUALLY (locked: Option A)</t>
        </is>
      </c>
    </row>
    <row r="10">
      <c r="A10" s="43" t="inlineStr">
        <is>
          <t>Emergency usage</t>
        </is>
      </c>
      <c r="B10" s="64" t="inlineStr">
        <is>
          <t>Tap anytime for diverted flights, weather delays, mech delays</t>
        </is>
      </c>
    </row>
    <row r="11">
      <c r="A11" s="43" t="inlineStr">
        <is>
          <t>UX</t>
        </is>
      </c>
      <c r="B11" s="64" t="inlineStr">
        <is>
          <t>1-GB refill mechanic — same as Premium/Business/First</t>
        </is>
      </c>
    </row>
    <row r="12">
      <c r="A12" s="43" t="inlineStr">
        <is>
          <t>Coverage</t>
        </is>
      </c>
      <c r="B12" s="64" t="inlineStr">
        <is>
          <t>Global pool — works in any country</t>
        </is>
      </c>
    </row>
    <row r="13">
      <c r="A13" s="43" t="inlineStr">
        <is>
          <t>Auto-arming</t>
        </is>
      </c>
      <c r="B13" s="64" t="inlineStr">
        <is>
          <t>NO — Roster Bundle is the auto-arm product. Cockpit is pool-only.</t>
        </is>
      </c>
    </row>
    <row r="14">
      <c r="A14" s="43" t="inlineStr">
        <is>
          <t>Lockin</t>
        </is>
      </c>
      <c r="B14" s="64" t="inlineStr">
        <is>
          <t>12 months. No mid-year cancellation or refunds.</t>
        </is>
      </c>
    </row>
    <row r="15">
      <c r="A15" s="43" t="inlineStr">
        <is>
          <t>Persona</t>
        </is>
      </c>
      <c r="B15" s="64" t="inlineStr">
        <is>
          <t>"I want one decision per year and zero plan management." Power users, frequent travelers, schedule-volatile crew.</t>
        </is>
      </c>
    </row>
    <row r="16">
      <c r="A16" s="43" t="inlineStr">
        <is>
          <t>Value prop</t>
        </is>
      </c>
      <c r="B16" s="64" t="inlineStr">
        <is>
          <t>"Set it for a year. Forget about it. Whatever happens to your schedule, you're covered."</t>
        </is>
      </c>
    </row>
    <row r="18">
      <c r="A18" s="40" t="inlineStr">
        <is>
          <t>2. PER-USER ANNUAL ECONOMICS</t>
        </is>
      </c>
    </row>
    <row r="19">
      <c r="A19" s="41" t="inlineStr">
        <is>
          <t>Line</t>
        </is>
      </c>
      <c r="B19" s="41" t="inlineStr">
        <is>
          <t>Value</t>
        </is>
      </c>
      <c r="C19" s="41" t="inlineStr">
        <is>
          <t>Notes</t>
        </is>
      </c>
    </row>
    <row r="20">
      <c r="A20" s="48" t="inlineStr">
        <is>
          <t>Annual revenue (prepaid upfront)</t>
        </is>
      </c>
      <c r="B20" s="54" t="n">
        <v>299</v>
      </c>
      <c r="C20" s="39" t="inlineStr">
        <is>
          <t>Locked retail</t>
        </is>
      </c>
    </row>
    <row r="21">
      <c r="A21" s="48" t="inlineStr">
        <is>
          <t>Annual pool capacity (12 GB × 12 mo)</t>
        </is>
      </c>
      <c r="B21" s="91" t="n">
        <v>144</v>
      </c>
      <c r="C21" s="39" t="inlineStr">
        <is>
          <t>144 GB monthly pool</t>
        </is>
      </c>
    </row>
    <row r="22">
      <c r="A22" s="48" t="inlineStr">
        <is>
          <t>Annual emergency bank</t>
        </is>
      </c>
      <c r="B22" s="91" t="n">
        <v>12</v>
      </c>
      <c r="C22" s="39" t="inlineStr">
        <is>
          <t>Refreshes Jan 1 each subscription year</t>
        </is>
      </c>
    </row>
    <row r="23">
      <c r="A23" s="48" t="inlineStr">
        <is>
          <t>Total annual data ceiling</t>
        </is>
      </c>
      <c r="B23" s="91">
        <f>B21+B22</f>
        <v/>
      </c>
      <c r="C23" s="39" t="inlineStr">
        <is>
          <t>156 GB if fully utilized</t>
        </is>
      </c>
    </row>
    <row r="24">
      <c r="A24" s="48" t="inlineStr">
        <is>
          <t>Effective per-GB rate (at full use)</t>
        </is>
      </c>
      <c r="B24" s="54">
        <f>B20/B23</f>
        <v/>
      </c>
      <c r="C24" s="39" t="inlineStr">
        <is>
          <t>$/GB if user maxed everything</t>
        </is>
      </c>
    </row>
    <row r="25">
      <c r="A25" s="48" t="inlineStr"/>
    </row>
    <row r="26">
      <c r="A26" s="48" t="inlineStr">
        <is>
          <t>GB consumed per month (60% friction)</t>
        </is>
      </c>
      <c r="B26" s="91" t="n">
        <v>7.2</v>
      </c>
      <c r="C26" s="39" t="inlineStr">
        <is>
          <t>Same friction model as First</t>
        </is>
      </c>
    </row>
    <row r="27">
      <c r="A27" s="48" t="inlineStr">
        <is>
          <t>Wholesale cost / GB blended</t>
        </is>
      </c>
      <c r="B27" s="54" t="n">
        <v>1.34</v>
      </c>
    </row>
    <row r="28">
      <c r="A28" s="48" t="inlineStr">
        <is>
          <t>Monthly wholesale COGS</t>
        </is>
      </c>
      <c r="B28" s="54">
        <f>B26*B27</f>
        <v/>
      </c>
    </row>
    <row r="29">
      <c r="A29" s="48" t="inlineStr">
        <is>
          <t>Annual base COGS (12 months)</t>
        </is>
      </c>
      <c r="B29" s="54">
        <f>B28*12</f>
        <v/>
      </c>
    </row>
    <row r="30">
      <c r="A30" s="48" t="inlineStr">
        <is>
          <t>Emergency bank usage (20% avg)</t>
        </is>
      </c>
      <c r="B30" s="91" t="n">
        <v>2.4</v>
      </c>
      <c r="C30" s="39" t="inlineStr">
        <is>
          <t>20% of users tap emergency</t>
        </is>
      </c>
    </row>
    <row r="31">
      <c r="A31" s="48" t="inlineStr">
        <is>
          <t>Emergency COGS / user / year</t>
        </is>
      </c>
      <c r="B31" s="54">
        <f>B30*B27</f>
        <v/>
      </c>
    </row>
    <row r="32">
      <c r="A32" s="48" t="inlineStr">
        <is>
          <t>TOTAL annual COGS per Cockpit user</t>
        </is>
      </c>
      <c r="B32" s="54">
        <f>B29+B31</f>
        <v/>
      </c>
    </row>
    <row r="33">
      <c r="A33" s="48" t="inlineStr"/>
    </row>
    <row r="34">
      <c r="A34" s="48" t="inlineStr">
        <is>
          <t>ANNUAL PROFIT PER USER</t>
        </is>
      </c>
      <c r="B34" s="83">
        <f>B20-B32</f>
        <v/>
      </c>
    </row>
    <row r="35">
      <c r="A35" s="48" t="inlineStr">
        <is>
          <t>ANNUAL MARGIN</t>
        </is>
      </c>
      <c r="B35" s="84">
        <f>B34/B20</f>
        <v/>
      </c>
    </row>
    <row r="37">
      <c r="A37" s="40" t="inlineStr">
        <is>
          <t>3. BACKDOOR EXPLOIT CHECK (5 scenarios tested)</t>
        </is>
      </c>
    </row>
    <row r="38">
      <c r="A38" s="41" t="inlineStr">
        <is>
          <t>#</t>
        </is>
      </c>
      <c r="B38" s="41" t="inlineStr">
        <is>
          <t>Scenario</t>
        </is>
      </c>
      <c r="C38" s="41" t="inlineStr">
        <is>
          <t>Result</t>
        </is>
      </c>
    </row>
    <row r="39">
      <c r="A39" s="48" t="n">
        <v>1</v>
      </c>
      <c r="B39" s="48" t="inlineStr">
        <is>
          <t>Cockpit user buys Economy ($4.99/GB) instead of refuel</t>
        </is>
      </c>
      <c r="C39" s="48" t="inlineStr">
        <is>
          <t>SAFE — Economy blocked for subscribers</t>
        </is>
      </c>
    </row>
    <row r="40">
      <c r="A40" s="48" t="n">
        <v>2</v>
      </c>
      <c r="B40" s="48" t="inlineStr">
        <is>
          <t>Business users downgrade to Cockpit ($1.92 vs $2.00/GB)</t>
        </is>
      </c>
      <c r="C40" s="48" t="inlineStr">
        <is>
          <t>SAFE — annual lockin + emergency bank differentiates</t>
        </is>
      </c>
    </row>
    <row r="41">
      <c r="A41" s="48" t="n">
        <v>3</v>
      </c>
      <c r="B41" s="48" t="inlineStr">
        <is>
          <t>Refuel ($4.99/GB) used vs pool ($1.92/GB) — backdoor?</t>
        </is>
      </c>
      <c r="C41" s="48" t="inlineStr">
        <is>
          <t>SAFE — refuel costs more, no advantage</t>
        </is>
      </c>
    </row>
    <row r="42">
      <c r="A42" s="48" t="n">
        <v>4</v>
      </c>
      <c r="B42" s="48" t="inlineStr">
        <is>
          <t>Roster heavy user shifts to Cockpit (lose auto-arming)</t>
        </is>
      </c>
      <c r="C42" s="48" t="inlineStr">
        <is>
          <t>FAIR TRADEOFF — Roster $480/yr vs Cockpit $299/yr — different products</t>
        </is>
      </c>
    </row>
    <row r="43">
      <c r="A43" s="48" t="n">
        <v>5</v>
      </c>
      <c r="B43" s="48" t="inlineStr">
        <is>
          <t>Premium ($216/yr, 120GB) vs Cockpit ($299/yr, 156GB + emergency)</t>
        </is>
      </c>
      <c r="C43" s="48" t="inlineStr">
        <is>
          <t>SAFE — Cockpit costs $83 more for emergency bank + lockin</t>
        </is>
      </c>
    </row>
    <row r="45">
      <c r="A45" s="40" t="inlineStr">
        <is>
          <t>4. AT SCALE (Cockpit = 3% of user base)</t>
        </is>
      </c>
    </row>
    <row r="46">
      <c r="A46" s="41" t="inlineStr">
        <is>
          <t>Total users</t>
        </is>
      </c>
      <c r="B46" s="41" t="inlineStr">
        <is>
          <t>Cockpit (3%)</t>
        </is>
      </c>
      <c r="C46" s="41" t="inlineStr">
        <is>
          <t>Annual revenue (prepaid)</t>
        </is>
      </c>
      <c r="D46" s="41" t="inlineStr">
        <is>
          <t>Annual profit</t>
        </is>
      </c>
      <c r="E46" s="41" t="inlineStr">
        <is>
          <t>Cash flow benefit</t>
        </is>
      </c>
    </row>
    <row r="47">
      <c r="A47" s="71" t="n">
        <v>1000</v>
      </c>
      <c r="B47" s="71" t="n">
        <v>30</v>
      </c>
      <c r="C47" s="86" t="n">
        <v>8970</v>
      </c>
      <c r="D47" s="86" t="n">
        <v>5773.2</v>
      </c>
      <c r="E47" s="86" t="n">
        <v>8970</v>
      </c>
    </row>
    <row r="48">
      <c r="A48" s="71" t="n">
        <v>5000</v>
      </c>
      <c r="B48" s="71" t="n">
        <v>150</v>
      </c>
      <c r="C48" s="86" t="n">
        <v>44850</v>
      </c>
      <c r="D48" s="86" t="n">
        <v>28866</v>
      </c>
      <c r="E48" s="86" t="n">
        <v>44850</v>
      </c>
    </row>
    <row r="49">
      <c r="A49" s="71" t="n">
        <v>10000</v>
      </c>
      <c r="B49" s="71" t="n">
        <v>300</v>
      </c>
      <c r="C49" s="86" t="n">
        <v>89700</v>
      </c>
      <c r="D49" s="86" t="n">
        <v>57732</v>
      </c>
      <c r="E49" s="86" t="n">
        <v>89700</v>
      </c>
    </row>
    <row r="50">
      <c r="A50" s="71" t="n">
        <v>50000</v>
      </c>
      <c r="B50" s="71" t="n">
        <v>1500</v>
      </c>
      <c r="C50" s="86" t="n">
        <v>448500</v>
      </c>
      <c r="D50" s="86" t="n">
        <v>288660</v>
      </c>
      <c r="E50" s="86" t="n">
        <v>448500</v>
      </c>
    </row>
    <row r="51">
      <c r="A51" s="71" t="n">
        <v>100000</v>
      </c>
      <c r="B51" s="71" t="n">
        <v>3000</v>
      </c>
      <c r="C51" s="87" t="n">
        <v>897000</v>
      </c>
      <c r="D51" s="87" t="n">
        <v>577320</v>
      </c>
      <c r="E51" s="87" t="n">
        <v>897000</v>
      </c>
    </row>
    <row r="54">
      <c r="A54" s="40" t="inlineStr">
        <is>
          <t>5. DECISION LOG</t>
        </is>
      </c>
    </row>
    <row r="55">
      <c r="A55" s="43" t="inlineStr">
        <is>
          <t>2026-06-01: Price locked at $299/year</t>
        </is>
      </c>
      <c r="B55" s="64" t="inlineStr">
        <is>
          <t>Annual prepay only. 17% discount vs Business monthly. Reframe: not pilots-only, but "you be the pilot of your year." Set it once.</t>
        </is>
      </c>
    </row>
    <row r="56">
      <c r="A56" s="43" t="inlineStr">
        <is>
          <t>2026-06-01: Pool locked at 12 GB / month</t>
        </is>
      </c>
      <c r="B56" s="64" t="inlineStr">
        <is>
          <t>Smaller than First (25 GB) intentionally. Cockpit value is the annual peace-of-mind + emergency bank, not pool size.</t>
        </is>
      </c>
    </row>
    <row r="57">
      <c r="A57" s="43" t="inlineStr">
        <is>
          <t>2026-06-01: Carryover 100% × 2 months</t>
        </is>
      </c>
      <c r="B57" s="64" t="inlineStr">
        <is>
          <t>Same as First/Suite — top-tier carry policy.</t>
        </is>
      </c>
    </row>
    <row r="58">
      <c r="A58" s="43" t="inlineStr">
        <is>
          <t>2026-06-01: Emergency bank 12 GB ANNUAL REFRESH (Option A)</t>
        </is>
      </c>
      <c r="B58" s="64" t="inlineStr">
        <is>
          <t>Bank refreshes Jan 1 each year. Creates renewal incentive. ~$2.88/user/year cost vs huge perceived value.</t>
        </is>
      </c>
    </row>
    <row r="59">
      <c r="A59" s="43" t="inlineStr">
        <is>
          <t>2026-06-01: Annual lockin, no monthly option</t>
        </is>
      </c>
      <c r="B59" s="64" t="inlineStr">
        <is>
          <t>Annual commitment is the deal. No partial refunds, no mid-year tier swaps.</t>
        </is>
      </c>
    </row>
    <row r="60">
      <c r="A60" s="43" t="inlineStr">
        <is>
          <t>2026-06-01: Backdoor audit passed</t>
        </is>
      </c>
      <c r="B60" s="64" t="inlineStr">
        <is>
          <t>All 5 exploit paths checked. No advantage to gaming Cockpit vs other tiers.</t>
        </is>
      </c>
    </row>
  </sheetData>
  <mergeCells count="25">
    <mergeCell ref="B7:F7"/>
    <mergeCell ref="B40"/>
    <mergeCell ref="B16:F16"/>
    <mergeCell ref="B59:F59"/>
    <mergeCell ref="B56:F56"/>
    <mergeCell ref="B58:F58"/>
    <mergeCell ref="B41"/>
    <mergeCell ref="A2:F2"/>
    <mergeCell ref="B12:F12"/>
    <mergeCell ref="B11:F11"/>
    <mergeCell ref="B60:F60"/>
    <mergeCell ref="B14:F14"/>
    <mergeCell ref="B8:F8"/>
    <mergeCell ref="B13:F13"/>
    <mergeCell ref="B57:F57"/>
    <mergeCell ref="B43"/>
    <mergeCell ref="B10:F10"/>
    <mergeCell ref="B39"/>
    <mergeCell ref="B42"/>
    <mergeCell ref="B9:F9"/>
    <mergeCell ref="B55:F55"/>
    <mergeCell ref="B6:F6"/>
    <mergeCell ref="B15:F15"/>
    <mergeCell ref="A1:F1"/>
    <mergeCell ref="B5:F5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C9A03B"/>
    <outlinePr summaryBelow="1" summaryRight="1"/>
    <pageSetUpPr/>
  </sheetPr>
  <dimension ref="A1:F47"/>
  <sheetViews>
    <sheetView workbookViewId="0">
      <selection activeCell="A1" sqref="A1"/>
    </sheetView>
  </sheetViews>
  <sheetFormatPr baseColWidth="8" defaultRowHeight="15"/>
  <cols>
    <col width="32" customWidth="1" min="1" max="1"/>
    <col width="16" customWidth="1" min="2" max="2"/>
    <col width="18" customWidth="1" min="3" max="3"/>
    <col width="18" customWidth="1" min="4" max="4"/>
    <col width="18" customWidth="1" min="5" max="5"/>
    <col width="18" customWidth="1" min="6" max="6"/>
  </cols>
  <sheetData>
    <row r="1">
      <c r="A1" s="53" t="inlineStr">
        <is>
          <t>Refuel (add-on) — math &amp; logic deep dive</t>
        </is>
      </c>
    </row>
    <row r="2">
      <c r="A2" s="39" t="inlineStr">
        <is>
          <t>Subscriber-only 1 GB top-up. Matches Economy price ($4.99) to close the subscriber backdoor. Same product, different audience.</t>
        </is>
      </c>
    </row>
    <row r="4">
      <c r="A4" s="40" t="inlineStr">
        <is>
          <t>1. PRODUCT DEFINITION</t>
        </is>
      </c>
    </row>
    <row r="5">
      <c r="A5" s="43" t="inlineStr">
        <is>
          <t>Price</t>
        </is>
      </c>
      <c r="B5" s="64" t="inlineStr">
        <is>
          <t>$4.99 per 1 GB top-up (dropped from $5.99 — matched to Economy)</t>
        </is>
      </c>
    </row>
    <row r="6">
      <c r="A6" s="43" t="inlineStr">
        <is>
          <t>Pool</t>
        </is>
      </c>
      <c r="B6" s="64" t="inlineStr">
        <is>
          <t>1 GB per refuel</t>
        </is>
      </c>
    </row>
    <row r="7">
      <c r="A7" s="43" t="inlineStr">
        <is>
          <t>Available to</t>
        </is>
      </c>
      <c r="B7" s="64" t="inlineStr">
        <is>
          <t>Active subscribers ONLY (Economy is the non-subscriber alternative)</t>
        </is>
      </c>
    </row>
    <row r="8">
      <c r="A8" s="43" t="inlineStr">
        <is>
          <t>Carry</t>
        </is>
      </c>
      <c r="B8" s="64" t="inlineStr">
        <is>
          <t>None — refuel data is consumed in the active billing period</t>
        </is>
      </c>
    </row>
    <row r="9">
      <c r="A9" s="43" t="inlineStr">
        <is>
          <t>Use case</t>
        </is>
      </c>
      <c r="B9" s="64" t="inlineStr">
        <is>
          <t>User runs out of monthly pool, taps "Refuel" button in app, adds 1 GB instantly</t>
        </is>
      </c>
    </row>
    <row r="10">
      <c r="A10" s="43" t="inlineStr">
        <is>
          <t>Subscription?</t>
        </is>
      </c>
      <c r="B10" s="64" t="inlineStr">
        <is>
          <t>No — pure single-purchase top-up</t>
        </is>
      </c>
    </row>
    <row r="11">
      <c r="A11" s="43" t="inlineStr">
        <is>
          <t>Strategic role</t>
        </is>
      </c>
      <c r="B11" s="64" t="inlineStr">
        <is>
          <t>Closes the subscriber backdoor (else they'd buy cheaper Economy top-ups)</t>
        </is>
      </c>
    </row>
    <row r="12">
      <c r="A12" s="43" t="inlineStr">
        <is>
          <t>Status</t>
        </is>
      </c>
      <c r="B12" s="64" t="inlineStr">
        <is>
          <t>LOCKED 2026-06-01</t>
        </is>
      </c>
    </row>
    <row r="14">
      <c r="A14" s="40" t="inlineStr">
        <is>
          <t>2. PER-PURCHASE ECONOMICS</t>
        </is>
      </c>
    </row>
    <row r="15">
      <c r="A15" s="41" t="inlineStr">
        <is>
          <t>Line</t>
        </is>
      </c>
      <c r="B15" s="41" t="inlineStr">
        <is>
          <t>Value</t>
        </is>
      </c>
      <c r="C15" s="41" t="inlineStr">
        <is>
          <t>Notes</t>
        </is>
      </c>
    </row>
    <row r="16">
      <c r="A16" s="48" t="inlineStr">
        <is>
          <t>Retail price</t>
        </is>
      </c>
      <c r="B16" s="54" t="n">
        <v>4.99</v>
      </c>
      <c r="C16" s="39" t="inlineStr">
        <is>
          <t>Locked, matched to Economy</t>
        </is>
      </c>
    </row>
    <row r="17">
      <c r="A17" s="48" t="inlineStr">
        <is>
          <t>Wholesale COGS (1 GB × $1.34 blended)</t>
        </is>
      </c>
      <c r="B17" s="54" t="n">
        <v>1.34</v>
      </c>
      <c r="C17" s="39" t="inlineStr">
        <is>
          <t>Blended rate (75/20/5 mix, updated 2026-06-01)</t>
        </is>
      </c>
    </row>
    <row r="18">
      <c r="A18" s="48" t="inlineStr">
        <is>
          <t>Gross profit per refuel</t>
        </is>
      </c>
      <c r="B18" s="68">
        <f>B16-B17</f>
        <v/>
      </c>
    </row>
    <row r="19">
      <c r="A19" s="48" t="inlineStr">
        <is>
          <t>Gross margin %</t>
        </is>
      </c>
      <c r="B19" s="26">
        <f>B18/B16</f>
        <v/>
      </c>
    </row>
    <row r="20">
      <c r="A20" s="48" t="inlineStr"/>
    </row>
    <row r="21">
      <c r="A21" s="48" t="inlineStr">
        <is>
          <t>Stripe fee per transaction (2.9% + $0.30)</t>
        </is>
      </c>
      <c r="B21" s="54">
        <f>B16*0.029+0.3</f>
        <v/>
      </c>
      <c r="C21" s="39" t="inlineStr">
        <is>
          <t>Direct cost per top-up</t>
        </is>
      </c>
    </row>
    <row r="22">
      <c r="A22" s="48" t="inlineStr">
        <is>
          <t>Net profit per refuel</t>
        </is>
      </c>
      <c r="B22" s="83">
        <f>B18-B21</f>
        <v/>
      </c>
    </row>
    <row r="23">
      <c r="A23" s="48" t="inlineStr">
        <is>
          <t>Net margin %</t>
        </is>
      </c>
      <c r="B23" s="26">
        <f>B22/B16</f>
        <v/>
      </c>
    </row>
    <row r="26">
      <c r="A26" s="40" t="inlineStr">
        <is>
          <t>3. AT-SCALE — REFUEL REVENUE LINE</t>
        </is>
      </c>
    </row>
    <row r="27">
      <c r="A27" s="39" t="inlineStr">
        <is>
          <t>Refuel attach assumption: ~30% of subscribers refuel each month (varies by tier — Premium 20%, Business 25%, First 40%, Suite 20%, Cockpit 15%).</t>
        </is>
      </c>
    </row>
    <row r="29">
      <c r="A29" s="41" t="inlineStr">
        <is>
          <t>Total users</t>
        </is>
      </c>
      <c r="B29" s="41" t="inlineStr">
        <is>
          <t>Active subscribers (~47%)</t>
        </is>
      </c>
      <c r="C29" s="41" t="inlineStr">
        <is>
          <t>Refuels/mo (30% attach)</t>
        </is>
      </c>
      <c r="D29" s="41" t="inlineStr">
        <is>
          <t>Monthly net profit</t>
        </is>
      </c>
      <c r="E29" s="41" t="inlineStr">
        <is>
          <t>Annual</t>
        </is>
      </c>
    </row>
    <row r="30">
      <c r="A30" s="71" t="n">
        <v>1000</v>
      </c>
      <c r="B30" s="71" t="n">
        <v>470</v>
      </c>
      <c r="C30" s="71" t="n">
        <v>141</v>
      </c>
      <c r="D30" s="86" t="n">
        <v>451.2</v>
      </c>
      <c r="E30" s="86" t="n">
        <v>5414.400000000001</v>
      </c>
    </row>
    <row r="31">
      <c r="A31" s="71" t="n">
        <v>5000</v>
      </c>
      <c r="B31" s="71" t="n">
        <v>2350</v>
      </c>
      <c r="C31" s="71" t="n">
        <v>705</v>
      </c>
      <c r="D31" s="86" t="n">
        <v>2256</v>
      </c>
      <c r="E31" s="86" t="n">
        <v>27072</v>
      </c>
    </row>
    <row r="32">
      <c r="A32" s="71" t="n">
        <v>10000</v>
      </c>
      <c r="B32" s="71" t="n">
        <v>4700</v>
      </c>
      <c r="C32" s="71" t="n">
        <v>1410</v>
      </c>
      <c r="D32" s="86" t="n">
        <v>4512</v>
      </c>
      <c r="E32" s="86" t="n">
        <v>54144</v>
      </c>
    </row>
    <row r="33">
      <c r="A33" s="71" t="n">
        <v>50000</v>
      </c>
      <c r="B33" s="71" t="n">
        <v>23500</v>
      </c>
      <c r="C33" s="71" t="n">
        <v>7050</v>
      </c>
      <c r="D33" s="86" t="n">
        <v>22560</v>
      </c>
      <c r="E33" s="86" t="n">
        <v>270720</v>
      </c>
    </row>
    <row r="34">
      <c r="A34" s="71" t="n">
        <v>100000</v>
      </c>
      <c r="B34" s="71" t="n">
        <v>47000</v>
      </c>
      <c r="C34" s="100" t="n">
        <v>14100</v>
      </c>
      <c r="D34" s="87" t="n">
        <v>45120</v>
      </c>
      <c r="E34" s="87" t="n">
        <v>541440</v>
      </c>
    </row>
    <row r="37">
      <c r="A37" s="40" t="inlineStr">
        <is>
          <t>4. STRATEGIC ROLE</t>
        </is>
      </c>
    </row>
    <row r="38">
      <c r="A38" s="43" t="inlineStr">
        <is>
          <t>Backdoor closure</t>
        </is>
      </c>
      <c r="B38" s="64" t="inlineStr">
        <is>
          <t>Originally refuel was $5.99 — subscribers got penalized vs $4.99 Economy. Dropped to $4.99 to remove the unfair "subscriber tax." Now subscribers see only Refuel option in app, Economy is hidden.</t>
        </is>
      </c>
    </row>
    <row r="39">
      <c r="A39" s="43" t="inlineStr">
        <is>
          <t>Safety valve for overconsumers</t>
        </is>
      </c>
      <c r="B39" s="64" t="inlineStr">
        <is>
          <t>Heavy users (especially First and Business) hit pool limits → refuel keeps them paying instead of churning to a bigger tier mid-month.</t>
        </is>
      </c>
    </row>
    <row r="40">
      <c r="A40" s="43" t="inlineStr">
        <is>
          <t>Predictable margin</t>
        </is>
      </c>
      <c r="B40" s="64" t="inlineStr">
        <is>
          <t>76% gross margin on every refuel. High-value transaction with zero acquisition cost (already a subscriber).</t>
        </is>
      </c>
    </row>
    <row r="41">
      <c r="A41" s="43" t="inlineStr">
        <is>
          <t>Mostly passive revenue</t>
        </is>
      </c>
      <c r="B41" s="64" t="inlineStr">
        <is>
          <t>No marketing required. Users self-serve when they need it. Pure UX-driven.</t>
        </is>
      </c>
    </row>
    <row r="44">
      <c r="A44" s="40" t="inlineStr">
        <is>
          <t>5. DECISION LOG</t>
        </is>
      </c>
    </row>
    <row r="45">
      <c r="A45" s="43" t="inlineStr">
        <is>
          <t>2026-06-01: Price dropped $5.99 → $4.99</t>
        </is>
      </c>
      <c r="B45" s="64" t="inlineStr">
        <is>
          <t>Match to Economy price. Removes subscriber tax. Closes backdoor where subscribers could buy cheaper Economy.</t>
        </is>
      </c>
    </row>
    <row r="46">
      <c r="A46" s="43" t="inlineStr">
        <is>
          <t>2026-06-01: Blocked Economy for active subscribers</t>
        </is>
      </c>
      <c r="B46" s="64" t="inlineStr">
        <is>
          <t>In-app logic hides Economy product from subscribers. Only Refuel option visible.</t>
        </is>
      </c>
    </row>
    <row r="47">
      <c r="A47" s="43" t="inlineStr">
        <is>
          <t>2026-06-01: No carryover</t>
        </is>
      </c>
      <c r="B47" s="64" t="inlineStr">
        <is>
          <t>Refuel data must be used in current billing cycle. Aligns with single-purchase model.</t>
        </is>
      </c>
    </row>
  </sheetData>
  <mergeCells count="18">
    <mergeCell ref="A2:F2"/>
    <mergeCell ref="B12:F12"/>
    <mergeCell ref="B7:F7"/>
    <mergeCell ref="B39:F39"/>
    <mergeCell ref="B6:F6"/>
    <mergeCell ref="B38:F38"/>
    <mergeCell ref="B47:F47"/>
    <mergeCell ref="B10:F10"/>
    <mergeCell ref="A1:F1"/>
    <mergeCell ref="B11:F11"/>
    <mergeCell ref="B41:F41"/>
    <mergeCell ref="B5:F5"/>
    <mergeCell ref="A27:F27"/>
    <mergeCell ref="B45:F45"/>
    <mergeCell ref="B46:F46"/>
    <mergeCell ref="B8:F8"/>
    <mergeCell ref="B40:F40"/>
    <mergeCell ref="B9:F9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E59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2" customWidth="1" min="1" max="1"/>
    <col width="28" customWidth="1" min="2" max="2"/>
    <col width="38" customWidth="1" min="3" max="3"/>
    <col width="22" customWidth="1" min="4" max="4"/>
    <col width="50" customWidth="1" min="5" max="5"/>
  </cols>
  <sheetData>
    <row r="1" ht="32" customHeight="1">
      <c r="A1" s="105" t="inlineStr">
        <is>
          <t>Costs &amp; Burn</t>
        </is>
      </c>
    </row>
    <row r="2" ht="20" customHeight="1">
      <c r="A2" s="106" t="inlineStr">
        <is>
          <t>Single source of truth for all Peanut eSIM costs — variable per-user, fixed monthly burn, marketing, one-time, and what still needs validation.</t>
        </is>
      </c>
    </row>
    <row r="4" ht="26" customHeight="1">
      <c r="A4" s="107" t="inlineStr">
        <is>
          <t>Section 1 — Per-user variable costs</t>
        </is>
      </c>
    </row>
    <row r="5" ht="30" customHeight="1">
      <c r="A5" s="108" t="inlineStr">
        <is>
          <t>Cost line</t>
        </is>
      </c>
      <c r="B5" s="108" t="inlineStr">
        <is>
          <t>Current estimate ($/user/mo)</t>
        </is>
      </c>
      <c r="C5" s="108" t="inlineStr">
        <is>
          <t>Source</t>
        </is>
      </c>
      <c r="D5" s="108" t="inlineStr">
        <is>
          <t>Confidence</t>
        </is>
      </c>
      <c r="E5" s="108" t="inlineStr">
        <is>
          <t>Notes</t>
        </is>
      </c>
    </row>
    <row r="6">
      <c r="A6" s="109" t="inlineStr">
        <is>
          <t>Payment processing (Stripe 2.9% + $0.30 weighted)</t>
        </is>
      </c>
      <c r="B6" s="110" t="n">
        <v>1.2</v>
      </c>
      <c r="C6" s="109" t="inlineStr">
        <is>
          <t>Tab 1 Section 5 — 3-scenario locked at realistic</t>
        </is>
      </c>
      <c r="D6" s="109" t="inlineStr">
        <is>
          <t>Medium</t>
        </is>
      </c>
      <c r="E6" s="111" t="inlineStr">
        <is>
          <t>Range $1.00-$1.50 depending on iOS routing</t>
        </is>
      </c>
    </row>
    <row r="7">
      <c r="A7" s="109" t="inlineStr">
        <is>
          <t>Apple App Store fees (if iOS in-app)</t>
        </is>
      </c>
      <c r="B7" s="112" t="inlineStr">
        <is>
          <t>included in payment processing</t>
        </is>
      </c>
      <c r="C7" s="109" t="inlineStr">
        <is>
          <t>—</t>
        </is>
      </c>
      <c r="D7" s="109" t="inlineStr">
        <is>
          <t>Medium</t>
        </is>
      </c>
      <c r="E7" s="111" t="inlineStr">
        <is>
          <t>30% IAP charges, mixed in payment processing</t>
        </is>
      </c>
    </row>
    <row r="8">
      <c r="A8" s="109" t="inlineStr">
        <is>
          <t>Customer support amortized</t>
        </is>
      </c>
      <c r="B8" s="110" t="n">
        <v>0.3</v>
      </c>
      <c r="C8" s="109" t="inlineStr">
        <is>
          <t>Placeholder</t>
        </is>
      </c>
      <c r="D8" s="109" t="inlineStr">
        <is>
          <t>Low — phase-dependent</t>
        </is>
      </c>
      <c r="E8" s="111" t="inlineStr">
        <is>
          <t>Pre-launch much higher, mature lower</t>
        </is>
      </c>
    </row>
    <row r="9">
      <c r="A9" s="109" t="inlineStr">
        <is>
          <t>Cloud / API per user</t>
        </is>
      </c>
      <c r="B9" s="110" t="n">
        <v>0.15</v>
      </c>
      <c r="C9" s="109" t="inlineStr">
        <is>
          <t>Placeholder</t>
        </is>
      </c>
      <c r="D9" s="109" t="inlineStr">
        <is>
          <t>Low</t>
        </is>
      </c>
      <c r="E9" s="111" t="inlineStr">
        <is>
          <t>Firebase, API gateway</t>
        </is>
      </c>
    </row>
    <row r="10">
      <c r="A10" s="109" t="inlineStr">
        <is>
          <t>SMS / OTP / verification</t>
        </is>
      </c>
      <c r="B10" s="110" t="n">
        <v>0.05</v>
      </c>
      <c r="C10" s="109" t="inlineStr">
        <is>
          <t>Placeholder</t>
        </is>
      </c>
      <c r="D10" s="109" t="inlineStr">
        <is>
          <t>Medium</t>
        </is>
      </c>
      <c r="E10" s="111" t="inlineStr">
        <is>
          <t>Twilio rates</t>
        </is>
      </c>
    </row>
    <row r="11">
      <c r="A11" s="109" t="inlineStr">
        <is>
          <t>Hosting + dev tools amortized</t>
        </is>
      </c>
      <c r="B11" s="110" t="n">
        <v>0.1</v>
      </c>
      <c r="C11" s="109" t="inlineStr">
        <is>
          <t>Placeholder</t>
        </is>
      </c>
      <c r="D11" s="109" t="inlineStr">
        <is>
          <t>Medium</t>
        </is>
      </c>
      <c r="E11" s="111" t="inlineStr">
        <is>
          <t>GitHub, monitoring</t>
        </is>
      </c>
    </row>
    <row r="12">
      <c r="A12" s="109" t="inlineStr">
        <is>
          <t>FX conversion fees</t>
        </is>
      </c>
      <c r="B12" s="110" t="n">
        <v>0.1</v>
      </c>
      <c r="C12" s="109" t="inlineStr">
        <is>
          <t>Estimate</t>
        </is>
      </c>
      <c r="D12" s="109" t="inlineStr">
        <is>
          <t>Low</t>
        </is>
      </c>
      <c r="E12" s="111" t="inlineStr">
        <is>
          <t>Stripe FX ~1% on cross-currency</t>
        </is>
      </c>
    </row>
    <row r="13">
      <c r="A13" s="109" t="inlineStr">
        <is>
          <t>Refund cost (avg per user)</t>
        </is>
      </c>
      <c r="B13" s="110" t="n">
        <v>0.3</v>
      </c>
      <c r="C13" s="109" t="inlineStr">
        <is>
          <t>Estimate (~2% of revenue refunded)</t>
        </is>
      </c>
      <c r="D13" s="109" t="inlineStr">
        <is>
          <t>Low</t>
        </is>
      </c>
      <c r="E13" s="111" t="inlineStr">
        <is>
          <t>Industry standard 2-3%</t>
        </is>
      </c>
    </row>
    <row r="14">
      <c r="A14" s="113" t="inlineStr">
        <is>
          <t>TOTAL per-user variable</t>
        </is>
      </c>
      <c r="B14" s="114">
        <f>SUM(B6,B8,B9,B10,B11,B12,B13)</f>
        <v/>
      </c>
      <c r="C14" s="113" t="inlineStr">
        <is>
          <t>—</t>
        </is>
      </c>
      <c r="D14" s="113" t="inlineStr">
        <is>
          <t>—</t>
        </is>
      </c>
      <c r="E14" s="115" t="inlineStr">
        <is>
          <t>(formula =SUM above) — quoted $2.20/user/mo</t>
        </is>
      </c>
    </row>
    <row r="16" ht="26" customHeight="1">
      <c r="A16" s="107" t="inlineStr">
        <is>
          <t>Section 2 — Fixed monthly burn</t>
        </is>
      </c>
    </row>
    <row r="17" ht="30" customHeight="1">
      <c r="A17" s="108" t="inlineStr">
        <is>
          <t>Cost line</t>
        </is>
      </c>
      <c r="B17" s="108" t="inlineStr">
        <is>
          <t>Pre-launch</t>
        </is>
      </c>
      <c r="C17" s="108" t="inlineStr">
        <is>
          <t>Early</t>
        </is>
      </c>
      <c r="D17" s="108" t="inlineStr">
        <is>
          <t>Mature</t>
        </is>
      </c>
      <c r="E17" s="108" t="inlineStr">
        <is>
          <t>Notes</t>
        </is>
      </c>
    </row>
    <row r="18">
      <c r="A18" s="109" t="inlineStr">
        <is>
          <t>Founder salaries (Balraj + Akito)</t>
        </is>
      </c>
      <c r="B18" s="116" t="n">
        <v>0</v>
      </c>
      <c r="C18" s="116" t="n">
        <v>10000</v>
      </c>
      <c r="D18" s="116" t="n">
        <v>25000</v>
      </c>
      <c r="E18" s="111" t="inlineStr">
        <is>
          <t>Bootstrap pre-launch, modest salary post-launch, market rate at scale</t>
        </is>
      </c>
    </row>
    <row r="19">
      <c r="A19" s="109" t="inlineStr">
        <is>
          <t>Legal / accounting</t>
        </is>
      </c>
      <c r="B19" s="116" t="n">
        <v>1000</v>
      </c>
      <c r="C19" s="116" t="n">
        <v>1000</v>
      </c>
      <c r="D19" s="116" t="n">
        <v>1000</v>
      </c>
      <c r="E19" s="111" t="inlineStr">
        <is>
          <t>Required from LLC formation</t>
        </is>
      </c>
    </row>
    <row r="20">
      <c r="A20" s="109" t="inlineStr">
        <is>
          <t>Insurance (E&amp;O, cyber, liability)</t>
        </is>
      </c>
      <c r="B20" s="116" t="n">
        <v>400</v>
      </c>
      <c r="C20" s="116" t="n">
        <v>400</v>
      </c>
      <c r="D20" s="116" t="n">
        <v>400</v>
      </c>
      <c r="E20" s="111" t="inlineStr">
        <is>
          <t>Annual ~$5K spread monthly</t>
        </is>
      </c>
    </row>
    <row r="21">
      <c r="A21" s="109" t="inlineStr">
        <is>
          <t>Office / co-working</t>
        </is>
      </c>
      <c r="B21" s="116" t="n">
        <v>0</v>
      </c>
      <c r="C21" s="116" t="n">
        <v>0</v>
      </c>
      <c r="D21" s="116" t="n">
        <v>0</v>
      </c>
      <c r="E21" s="111" t="inlineStr">
        <is>
          <t>Remote-first</t>
        </is>
      </c>
    </row>
    <row r="22">
      <c r="A22" s="109" t="inlineStr">
        <is>
          <t>Software stack (Slack, Notion, Figma, etc.)</t>
        </is>
      </c>
      <c r="B22" s="116" t="n">
        <v>300</v>
      </c>
      <c r="C22" s="116" t="n">
        <v>300</v>
      </c>
      <c r="D22" s="116" t="n">
        <v>300</v>
      </c>
      <c r="E22" s="111" t="inlineStr">
        <is>
          <t>Founder tools</t>
        </is>
      </c>
    </row>
    <row r="23">
      <c r="A23" s="109" t="inlineStr">
        <is>
          <t>Domain + DNS</t>
        </is>
      </c>
      <c r="B23" s="116" t="n">
        <v>5</v>
      </c>
      <c r="C23" s="116" t="n">
        <v>5</v>
      </c>
      <c r="D23" s="116" t="n">
        <v>5</v>
      </c>
      <c r="E23" s="111" t="inlineStr">
        <is>
          <t>moonlight.ventures + others amortized</t>
        </is>
      </c>
    </row>
    <row r="24">
      <c r="A24" s="109" t="inlineStr">
        <is>
          <t>Apple Developer Program</t>
        </is>
      </c>
      <c r="B24" s="116" t="n">
        <v>8</v>
      </c>
      <c r="C24" s="116" t="n">
        <v>8</v>
      </c>
      <c r="D24" s="116" t="n">
        <v>8</v>
      </c>
      <c r="E24" s="111" t="inlineStr">
        <is>
          <t>$99/year ÷ 12</t>
        </is>
      </c>
    </row>
    <row r="25">
      <c r="A25" s="113" t="inlineStr">
        <is>
          <t>TOTAL fixed monthly burn (pre-launch)</t>
        </is>
      </c>
      <c r="B25" s="117">
        <f>SUM(B18:B24)</f>
        <v/>
      </c>
      <c r="C25" s="113" t="inlineStr"/>
      <c r="D25" s="113" t="inlineStr"/>
      <c r="E25" s="115" t="inlineStr">
        <is>
          <t>(sum) — quoted $1,713</t>
        </is>
      </c>
    </row>
    <row r="26">
      <c r="A26" s="113" t="inlineStr">
        <is>
          <t>TOTAL fixed monthly burn (early)</t>
        </is>
      </c>
      <c r="B26" s="113" t="inlineStr"/>
      <c r="C26" s="117">
        <f>SUM(C18:C24)</f>
        <v/>
      </c>
      <c r="D26" s="113" t="inlineStr"/>
      <c r="E26" s="115" t="inlineStr">
        <is>
          <t>(with founder pay) — quoted $11,713</t>
        </is>
      </c>
    </row>
    <row r="27">
      <c r="A27" s="113" t="inlineStr">
        <is>
          <t>TOTAL fixed monthly burn (mature)</t>
        </is>
      </c>
      <c r="B27" s="113" t="inlineStr"/>
      <c r="C27" s="113" t="inlineStr"/>
      <c r="D27" s="117">
        <f>SUM(D18:D24)</f>
        <v/>
      </c>
      <c r="E27" s="115" t="inlineStr">
        <is>
          <t>(full salaries) — quoted $26,713</t>
        </is>
      </c>
    </row>
    <row r="29" ht="26" customHeight="1">
      <c r="A29" s="107" t="inlineStr">
        <is>
          <t>Section 3 — Variable scaling costs (marketing &amp; growth)</t>
        </is>
      </c>
    </row>
    <row r="30" ht="30" customHeight="1">
      <c r="A30" s="108" t="inlineStr">
        <is>
          <t>Cost line</t>
        </is>
      </c>
      <c r="B30" s="108" t="inlineStr">
        <is>
          <t>Pre-launch</t>
        </is>
      </c>
      <c r="C30" s="108" t="inlineStr">
        <is>
          <t>Early</t>
        </is>
      </c>
      <c r="D30" s="108" t="inlineStr">
        <is>
          <t>Growth</t>
        </is>
      </c>
      <c r="E30" s="108" t="inlineStr">
        <is>
          <t>Notes</t>
        </is>
      </c>
    </row>
    <row r="31">
      <c r="A31" s="109" t="inlineStr">
        <is>
          <t>Crew WhatsApp acquisition (Akito's network)</t>
        </is>
      </c>
      <c r="B31" s="116" t="n">
        <v>0</v>
      </c>
      <c r="C31" s="116" t="n">
        <v>0</v>
      </c>
      <c r="D31" s="116" t="n">
        <v>0</v>
      </c>
      <c r="E31" s="111" t="inlineStr">
        <is>
          <t>Free organic — the wedge</t>
        </is>
      </c>
    </row>
    <row r="32">
      <c r="A32" s="109" t="inlineStr">
        <is>
          <t>Referral incentives ($5 credit per referral)</t>
        </is>
      </c>
      <c r="B32" s="116" t="n">
        <v>0</v>
      </c>
      <c r="C32" s="116" t="n">
        <v>500</v>
      </c>
      <c r="D32" s="116" t="n">
        <v>2000</v>
      </c>
      <c r="E32" s="111" t="inlineStr">
        <is>
          <t>Scale with user growth</t>
        </is>
      </c>
    </row>
    <row r="33">
      <c r="A33" s="109" t="inlineStr">
        <is>
          <t>Paid social (Instagram crew creators)</t>
        </is>
      </c>
      <c r="B33" s="116" t="n">
        <v>0</v>
      </c>
      <c r="C33" s="116" t="n">
        <v>500</v>
      </c>
      <c r="D33" s="116" t="n">
        <v>5000</v>
      </c>
      <c r="E33" s="111" t="inlineStr">
        <is>
          <t>Phase 2 onwards</t>
        </is>
      </c>
    </row>
    <row r="34">
      <c r="A34" s="109" t="inlineStr">
        <is>
          <t>Content marketing (Akito blog/JP content)</t>
        </is>
      </c>
      <c r="B34" s="116" t="n">
        <v>0</v>
      </c>
      <c r="C34" s="116" t="n">
        <v>0</v>
      </c>
      <c r="D34" s="116" t="n">
        <v>0</v>
      </c>
      <c r="E34" s="111" t="inlineStr">
        <is>
          <t>Time-based, no $ cost</t>
        </is>
      </c>
    </row>
    <row r="35">
      <c r="A35" s="109" t="inlineStr">
        <is>
          <t>Beta crew gifts/swag</t>
        </is>
      </c>
      <c r="B35" s="116" t="n">
        <v>200</v>
      </c>
      <c r="C35" s="116" t="n">
        <v>0</v>
      </c>
      <c r="D35" s="116" t="n">
        <v>0</v>
      </c>
      <c r="E35" s="111" t="inlineStr">
        <is>
          <t>One-time ($200) — placed in pre-launch column</t>
        </is>
      </c>
    </row>
    <row r="36">
      <c r="A36" s="109" t="inlineStr">
        <is>
          <t>Crew interview compensation</t>
        </is>
      </c>
      <c r="B36" s="116" t="n">
        <v>0</v>
      </c>
      <c r="C36" s="116" t="n">
        <v>0</v>
      </c>
      <c r="D36" s="116" t="n">
        <v>0</v>
      </c>
      <c r="E36" s="111" t="inlineStr">
        <is>
          <t>$50 × 20-30 crew, one-time — see Section 4</t>
        </is>
      </c>
    </row>
    <row r="37">
      <c r="A37" s="109" t="inlineStr">
        <is>
          <t>Conferences / events</t>
        </is>
      </c>
      <c r="B37" s="116" t="n">
        <v>0</v>
      </c>
      <c r="C37" s="116" t="n">
        <v>0</v>
      </c>
      <c r="D37" s="116" t="n">
        <v>3000</v>
      </c>
      <c r="E37" s="111" t="inlineStr">
        <is>
          <t>Year 2+ when we have product</t>
        </is>
      </c>
    </row>
    <row r="38">
      <c r="A38" s="113" t="inlineStr">
        <is>
          <t>TOTAL marketing (early stage)</t>
        </is>
      </c>
      <c r="B38" s="113" t="inlineStr"/>
      <c r="C38" s="117">
        <f>SUM(C31:C37)</f>
        <v/>
      </c>
      <c r="D38" s="113" t="inlineStr"/>
      <c r="E38" s="115" t="inlineStr">
        <is>
          <t>(sum) — quoted $1,000</t>
        </is>
      </c>
    </row>
    <row r="39">
      <c r="A39" s="113" t="inlineStr">
        <is>
          <t>TOTAL marketing (growth stage)</t>
        </is>
      </c>
      <c r="B39" s="113" t="inlineStr"/>
      <c r="C39" s="113" t="inlineStr"/>
      <c r="D39" s="117">
        <f>SUM(D31:D37)</f>
        <v/>
      </c>
      <c r="E39" s="115" t="inlineStr">
        <is>
          <t>(sum) — quoted $10,000</t>
        </is>
      </c>
    </row>
    <row r="41" ht="26" customHeight="1">
      <c r="A41" s="107" t="inlineStr">
        <is>
          <t>Section 4 — One-time costs</t>
        </is>
      </c>
    </row>
    <row r="42" ht="30" customHeight="1">
      <c r="A42" s="108" t="inlineStr">
        <is>
          <t>Cost</t>
        </is>
      </c>
      <c r="B42" s="108" t="inlineStr">
        <is>
          <t>Amount</t>
        </is>
      </c>
      <c r="C42" s="108" t="inlineStr">
        <is>
          <t>When</t>
        </is>
      </c>
      <c r="D42" s="108" t="inlineStr"/>
      <c r="E42" s="108" t="inlineStr"/>
    </row>
    <row r="43">
      <c r="A43" s="109" t="inlineStr">
        <is>
          <t>Delaware LLC filing</t>
        </is>
      </c>
      <c r="B43" s="116" t="n">
        <v>90</v>
      </c>
      <c r="C43" s="111" t="inlineStr">
        <is>
          <t>This week</t>
        </is>
      </c>
      <c r="D43" s="109" t="inlineStr"/>
      <c r="E43" s="109" t="inlineStr"/>
    </row>
    <row r="44">
      <c r="A44" s="109" t="inlineStr">
        <is>
          <t>Trademark Class 35 search</t>
        </is>
      </c>
      <c r="B44" s="116" t="n">
        <v>1500</v>
      </c>
      <c r="C44" s="111" t="inlineStr">
        <is>
          <t>Before public launch</t>
        </is>
      </c>
      <c r="D44" s="109" t="inlineStr"/>
      <c r="E44" s="109" t="inlineStr"/>
    </row>
    <row r="45">
      <c r="A45" s="109" t="inlineStr">
        <is>
          <t>Trademark Class 9/38 filing</t>
        </is>
      </c>
      <c r="B45" s="116" t="n">
        <v>1500</v>
      </c>
      <c r="C45" s="111" t="inlineStr">
        <is>
          <t>Before public launch</t>
        </is>
      </c>
      <c r="D45" s="109" t="inlineStr"/>
      <c r="E45" s="109" t="inlineStr"/>
    </row>
    <row r="46">
      <c r="A46" s="109" t="inlineStr">
        <is>
          <t>moonlight.ventures domain (5 years)</t>
        </is>
      </c>
      <c r="B46" s="116" t="n">
        <v>125</v>
      </c>
      <c r="C46" s="111" t="inlineStr">
        <is>
          <t>This week</t>
        </is>
      </c>
      <c r="D46" s="109" t="inlineStr"/>
      <c r="E46" s="109" t="inlineStr"/>
    </row>
    <row r="47">
      <c r="A47" s="109" t="inlineStr">
        <is>
          <t>Initial Apple Developer enrollment</t>
        </is>
      </c>
      <c r="B47" s="116" t="n">
        <v>99</v>
      </c>
      <c r="C47" s="111" t="inlineStr">
        <is>
          <t>LLC formation prereq</t>
        </is>
      </c>
      <c r="D47" s="109" t="inlineStr"/>
      <c r="E47" s="109" t="inlineStr"/>
    </row>
    <row r="48">
      <c r="A48" s="109" t="inlineStr">
        <is>
          <t>Mercury bank setup</t>
        </is>
      </c>
      <c r="B48" s="116" t="n">
        <v>0</v>
      </c>
      <c r="C48" s="111" t="inlineStr">
        <is>
          <t>Free</t>
        </is>
      </c>
      <c r="D48" s="109" t="inlineStr"/>
      <c r="E48" s="109" t="inlineStr"/>
    </row>
    <row r="49">
      <c r="A49" s="109" t="inlineStr">
        <is>
          <t>Initial Samurai onboarding fees</t>
        </is>
      </c>
      <c r="B49" s="116" t="n">
        <v>0</v>
      </c>
      <c r="C49" s="111" t="inlineStr">
        <is>
          <t>None</t>
        </is>
      </c>
      <c r="D49" s="109" t="inlineStr"/>
      <c r="E49" s="109" t="inlineStr"/>
    </row>
    <row r="50">
      <c r="A50" s="113" t="inlineStr">
        <is>
          <t>TOTAL one-time</t>
        </is>
      </c>
      <c r="B50" s="117">
        <f>SUM(B43:B49)</f>
        <v/>
      </c>
      <c r="C50" s="115" t="inlineStr">
        <is>
          <t>(sum) — quoted $3,314</t>
        </is>
      </c>
      <c r="D50" s="113" t="inlineStr"/>
      <c r="E50" s="113" t="inlineStr"/>
    </row>
    <row r="52" ht="26" customHeight="1">
      <c r="A52" s="107" t="inlineStr">
        <is>
          <t>Section 5 — Validation queue</t>
        </is>
      </c>
    </row>
    <row r="53" ht="30" customHeight="1">
      <c r="A53" s="108" t="inlineStr">
        <is>
          <t>Open validation item</t>
        </is>
      </c>
      <c r="B53" s="118" t="n"/>
      <c r="C53" s="118" t="n"/>
      <c r="D53" s="118" t="n"/>
      <c r="E53" s="119" t="n"/>
    </row>
    <row r="54">
      <c r="A54" s="112" t="inlineStr">
        <is>
          <t>☐  Validate Stripe payment processing actual rate post-launch</t>
        </is>
      </c>
      <c r="B54" s="118" t="n"/>
      <c r="C54" s="118" t="n"/>
      <c r="D54" s="118" t="n"/>
      <c r="E54" s="119" t="n"/>
    </row>
    <row r="55">
      <c r="A55" s="112" t="inlineStr">
        <is>
          <t>☐  Validate customer support cost as we hire</t>
        </is>
      </c>
      <c r="B55" s="118" t="n"/>
      <c r="C55" s="118" t="n"/>
      <c r="D55" s="118" t="n"/>
      <c r="E55" s="119" t="n"/>
    </row>
    <row r="56">
      <c r="A56" s="112" t="inlineStr">
        <is>
          <t>☐  Validate refund cost from real data months 1-3</t>
        </is>
      </c>
      <c r="B56" s="118" t="n"/>
      <c r="C56" s="118" t="n"/>
      <c r="D56" s="118" t="n"/>
      <c r="E56" s="119" t="n"/>
    </row>
    <row r="57">
      <c r="A57" s="112" t="inlineStr">
        <is>
          <t>☐  Validate FX fee impact on non-USD purchases</t>
        </is>
      </c>
      <c r="B57" s="118" t="n"/>
      <c r="C57" s="118" t="n"/>
      <c r="D57" s="118" t="n"/>
      <c r="E57" s="119" t="n"/>
    </row>
    <row r="58">
      <c r="A58" s="112" t="inlineStr">
        <is>
          <t>☐  Validate marketing CAC after first campaign</t>
        </is>
      </c>
      <c r="B58" s="118" t="n"/>
      <c r="C58" s="118" t="n"/>
      <c r="D58" s="118" t="n"/>
      <c r="E58" s="119" t="n"/>
    </row>
    <row r="59">
      <c r="A59" s="112" t="inlineStr">
        <is>
          <t>☐  Validate insurance quote (currently estimate)</t>
        </is>
      </c>
      <c r="B59" s="118" t="n"/>
      <c r="C59" s="118" t="n"/>
      <c r="D59" s="118" t="n"/>
      <c r="E59" s="119" t="n"/>
    </row>
  </sheetData>
  <mergeCells count="14">
    <mergeCell ref="A53:E53"/>
    <mergeCell ref="A55:E55"/>
    <mergeCell ref="A29:E29"/>
    <mergeCell ref="A59:E59"/>
    <mergeCell ref="A4:E4"/>
    <mergeCell ref="A57:E57"/>
    <mergeCell ref="A2:E2"/>
    <mergeCell ref="A16:E16"/>
    <mergeCell ref="A52:E52"/>
    <mergeCell ref="A54:E54"/>
    <mergeCell ref="A41:E41"/>
    <mergeCell ref="A1:E1"/>
    <mergeCell ref="A58:E58"/>
    <mergeCell ref="A56:E56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J8"/>
  <sheetViews>
    <sheetView workbookViewId="0">
      <selection activeCell="A1" sqref="A1"/>
    </sheetView>
  </sheetViews>
  <sheetFormatPr baseColWidth="8" defaultRowHeight="15"/>
  <cols>
    <col width="15" customWidth="1" min="1" max="1"/>
    <col width="14" customWidth="1" min="2" max="2"/>
    <col width="16" customWidth="1" min="3" max="3"/>
    <col width="16" customWidth="1" min="4" max="4"/>
    <col width="16" customWidth="1" min="5" max="5"/>
    <col width="14" customWidth="1" min="6" max="6"/>
    <col width="16" customWidth="1" min="7" max="7"/>
    <col width="16" customWidth="1" min="8" max="8"/>
    <col width="14" customWidth="1" min="9" max="9"/>
    <col width="18" customWidth="1" min="10" max="10"/>
  </cols>
  <sheetData>
    <row r="1">
      <c r="A1" s="1" t="inlineStr">
        <is>
          <t>Monthly P&amp;L across 4 scale scenarios</t>
        </is>
      </c>
    </row>
    <row r="4">
      <c r="A4" s="8" t="inlineStr">
        <is>
          <t>Scenario</t>
        </is>
      </c>
      <c r="B4" s="8" t="inlineStr">
        <is>
          <t>Active Users</t>
        </is>
      </c>
      <c r="C4" s="8" t="inlineStr">
        <is>
          <t>Monthly Revenue</t>
        </is>
      </c>
      <c r="D4" s="8" t="inlineStr">
        <is>
          <t>Monthly COGS</t>
        </is>
      </c>
      <c r="E4" s="8" t="inlineStr">
        <is>
          <t>Monthly Gross Profit</t>
        </is>
      </c>
      <c r="F4" s="8" t="inlineStr">
        <is>
          <t>Gross Margin %</t>
        </is>
      </c>
      <c r="G4" s="8" t="inlineStr">
        <is>
          <t>Monthly Opex</t>
        </is>
      </c>
      <c r="H4" s="8" t="inlineStr">
        <is>
          <t>Monthly Net Profit</t>
        </is>
      </c>
      <c r="I4" s="8" t="inlineStr">
        <is>
          <t>Net Margin %</t>
        </is>
      </c>
      <c r="J4" s="8" t="inlineStr">
        <is>
          <t>Annual Net</t>
        </is>
      </c>
    </row>
    <row r="5">
      <c r="A5" s="9" t="inlineStr">
        <is>
          <t>Conservative</t>
        </is>
      </c>
      <c r="B5" s="23" t="n">
        <v>100</v>
      </c>
      <c r="C5" s="24">
        <f>B5*SUMPRODUCT('Per-Tier Unit Economics'!I7:I13,'README &amp; Assumptions'!B36:B42)</f>
        <v/>
      </c>
      <c r="D5" s="24">
        <f>B5*SUMPRODUCT('Per-Tier Unit Economics'!J7:J13,'README &amp; Assumptions'!B36:B42)</f>
        <v/>
      </c>
      <c r="E5" s="25">
        <f>C5-D5</f>
        <v/>
      </c>
      <c r="F5" s="26">
        <f>IFERROR(E5/C5,0)</f>
        <v/>
      </c>
      <c r="G5" s="27">
        <f>B5*'README &amp; Assumptions'!B53</f>
        <v/>
      </c>
      <c r="H5" s="25">
        <f>E5-G5</f>
        <v/>
      </c>
      <c r="I5" s="26">
        <f>IFERROR(H5/C5,0)</f>
        <v/>
      </c>
      <c r="J5" s="25">
        <f>H5*12</f>
        <v/>
      </c>
    </row>
    <row r="6">
      <c r="A6" s="9" t="inlineStr">
        <is>
          <t>Base</t>
        </is>
      </c>
      <c r="B6" s="23" t="n">
        <v>1000</v>
      </c>
      <c r="C6" s="24">
        <f>B6*SUMPRODUCT('Per-Tier Unit Economics'!I7:I13,'README &amp; Assumptions'!B36:B42)</f>
        <v/>
      </c>
      <c r="D6" s="24">
        <f>B6*SUMPRODUCT('Per-Tier Unit Economics'!J7:J13,'README &amp; Assumptions'!B36:B42)</f>
        <v/>
      </c>
      <c r="E6" s="25">
        <f>C6-D6</f>
        <v/>
      </c>
      <c r="F6" s="26">
        <f>IFERROR(E6/C6,0)</f>
        <v/>
      </c>
      <c r="G6" s="27">
        <f>B6*'README &amp; Assumptions'!B53</f>
        <v/>
      </c>
      <c r="H6" s="25">
        <f>E6-G6</f>
        <v/>
      </c>
      <c r="I6" s="26">
        <f>IFERROR(H6/C6,0)</f>
        <v/>
      </c>
      <c r="J6" s="25">
        <f>H6*12</f>
        <v/>
      </c>
    </row>
    <row r="7">
      <c r="A7" s="9" t="inlineStr">
        <is>
          <t>Aggressive</t>
        </is>
      </c>
      <c r="B7" s="23" t="n">
        <v>5000</v>
      </c>
      <c r="C7" s="24">
        <f>B7*SUMPRODUCT('Per-Tier Unit Economics'!I7:I13,'README &amp; Assumptions'!B36:B42)</f>
        <v/>
      </c>
      <c r="D7" s="24">
        <f>B7*SUMPRODUCT('Per-Tier Unit Economics'!J7:J13,'README &amp; Assumptions'!B36:B42)</f>
        <v/>
      </c>
      <c r="E7" s="25">
        <f>C7-D7</f>
        <v/>
      </c>
      <c r="F7" s="26">
        <f>IFERROR(E7/C7,0)</f>
        <v/>
      </c>
      <c r="G7" s="27">
        <f>B7*'README &amp; Assumptions'!B53</f>
        <v/>
      </c>
      <c r="H7" s="25">
        <f>E7-G7</f>
        <v/>
      </c>
      <c r="I7" s="26">
        <f>IFERROR(H7/C7,0)</f>
        <v/>
      </c>
      <c r="J7" s="25">
        <f>H7*12</f>
        <v/>
      </c>
    </row>
    <row r="8">
      <c r="A8" s="9" t="inlineStr">
        <is>
          <t>Hockey Stick</t>
        </is>
      </c>
      <c r="B8" s="23" t="n">
        <v>20000</v>
      </c>
      <c r="C8" s="24">
        <f>B8*SUMPRODUCT('Per-Tier Unit Economics'!I7:I13,'README &amp; Assumptions'!B36:B42)</f>
        <v/>
      </c>
      <c r="D8" s="24">
        <f>B8*SUMPRODUCT('Per-Tier Unit Economics'!J7:J13,'README &amp; Assumptions'!B36:B42)</f>
        <v/>
      </c>
      <c r="E8" s="25">
        <f>C8-D8</f>
        <v/>
      </c>
      <c r="F8" s="26">
        <f>IFERROR(E8/C8,0)</f>
        <v/>
      </c>
      <c r="G8" s="27">
        <f>B8*'README &amp; Assumptions'!B53</f>
        <v/>
      </c>
      <c r="H8" s="25">
        <f>E8-G8</f>
        <v/>
      </c>
      <c r="I8" s="26">
        <f>IFERROR(H8/C8,0)</f>
        <v/>
      </c>
      <c r="J8" s="25">
        <f>H8*12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8" customWidth="1" min="1" max="1"/>
    <col width="16" customWidth="1" min="2" max="2"/>
    <col width="16" customWidth="1" min="3" max="3"/>
    <col width="14" customWidth="1" min="4" max="4"/>
    <col width="16" customWidth="1" min="5" max="5"/>
    <col width="14" customWidth="1" min="6" max="6"/>
    <col width="16" customWidth="1" min="7" max="7"/>
  </cols>
  <sheetData>
    <row r="1">
      <c r="A1" s="1" t="inlineStr">
        <is>
          <t>Supply Procurement Options — same volume, 3 supply chains</t>
        </is>
      </c>
    </row>
    <row r="2">
      <c r="A2" s="2" t="inlineStr">
        <is>
          <t>Compare current Samurai pay-per-order vs. bulk-prepay vs. eSIM Access direct at 1,000 users.</t>
        </is>
      </c>
    </row>
    <row r="4">
      <c r="A4" s="3" t="inlineStr">
        <is>
          <t>OPTIONS</t>
        </is>
      </c>
    </row>
    <row r="5">
      <c r="A5" s="8" t="inlineStr">
        <is>
          <t>Option</t>
        </is>
      </c>
      <c r="B5" s="8" t="inlineStr">
        <is>
          <t>Cost Modifier</t>
        </is>
      </c>
      <c r="C5" s="8" t="inlineStr">
        <is>
          <t>Breakage Cost</t>
        </is>
      </c>
      <c r="D5" s="8" t="inlineStr">
        <is>
          <t>Platform Fee/mo</t>
        </is>
      </c>
      <c r="E5" s="8" t="inlineStr">
        <is>
          <t>Description</t>
        </is>
      </c>
    </row>
    <row r="6">
      <c r="A6" s="9" t="inlineStr">
        <is>
          <t>A. Samurai pay-per-order</t>
        </is>
      </c>
      <c r="B6" s="13" t="n">
        <v>1</v>
      </c>
      <c r="C6" s="13" t="n">
        <v>0</v>
      </c>
      <c r="D6" s="28" t="n">
        <v>0</v>
      </c>
      <c r="E6" s="14" t="inlineStr">
        <is>
          <t>Current model: COGS = consumed only, no upfront commitment</t>
        </is>
      </c>
    </row>
    <row r="7">
      <c r="A7" s="9" t="inlineStr">
        <is>
          <t>B. Samurai bulk prepay -10%</t>
        </is>
      </c>
      <c r="B7" s="13" t="n">
        <v>0.9</v>
      </c>
      <c r="C7" s="13" t="n">
        <v>0.15</v>
      </c>
      <c r="D7" s="28" t="n">
        <v>0</v>
      </c>
      <c r="E7" s="14" t="inlineStr">
        <is>
          <t>10% discount but pre-buy 100% of pool, 15% breakage on unused inventory</t>
        </is>
      </c>
    </row>
    <row r="8">
      <c r="A8" s="9" t="inlineStr">
        <is>
          <t>C. eSIM Access direct -40%</t>
        </is>
      </c>
      <c r="B8" s="13" t="n">
        <v>0.6</v>
      </c>
      <c r="C8" s="13" t="n">
        <v>0</v>
      </c>
      <c r="D8" s="28" t="n">
        <v>5000</v>
      </c>
      <c r="E8" s="14" t="inlineStr">
        <is>
          <t>Bypass Samurai, save 40% but $5K/mo platform commitment</t>
        </is>
      </c>
    </row>
    <row r="10">
      <c r="A10" s="3" t="inlineStr">
        <is>
          <t>COMPARISON @ 1,000 active users</t>
        </is>
      </c>
    </row>
    <row r="11">
      <c r="A11" s="8" t="inlineStr">
        <is>
          <t>Option</t>
        </is>
      </c>
      <c r="B11" s="8" t="inlineStr">
        <is>
          <t>Monthly Revenue</t>
        </is>
      </c>
      <c r="C11" s="8" t="inlineStr">
        <is>
          <t>Effective COGS</t>
        </is>
      </c>
      <c r="D11" s="8" t="inlineStr">
        <is>
          <t>Platform Fee</t>
        </is>
      </c>
      <c r="E11" s="8" t="inlineStr">
        <is>
          <t>Net Profit</t>
        </is>
      </c>
      <c r="F11" s="8" t="inlineStr">
        <is>
          <t>Net Margin %</t>
        </is>
      </c>
      <c r="G11" s="8" t="inlineStr">
        <is>
          <t>Annual Net</t>
        </is>
      </c>
    </row>
    <row r="12">
      <c r="A12" s="9" t="inlineStr">
        <is>
          <t>A. Samurai pay-per-order</t>
        </is>
      </c>
      <c r="B12" s="24">
        <f>1000*SUMPRODUCT('Per-Tier Unit Economics'!I7:I13,'README &amp; Assumptions'!B36:B42)</f>
        <v/>
      </c>
      <c r="C12" s="24">
        <f>1000*SUMPRODUCT('Per-Tier Unit Economics'!J7:J13,'README &amp; Assumptions'!B36:B42)*B6</f>
        <v/>
      </c>
      <c r="D12" s="24">
        <f>D6</f>
        <v/>
      </c>
      <c r="E12" s="25">
        <f>B12-C12-D12-(1000*'README &amp; Assumptions'!B53)</f>
        <v/>
      </c>
      <c r="F12" s="17">
        <f>IFERROR(E12/B12,0)</f>
        <v/>
      </c>
      <c r="G12" s="25">
        <f>E12*12</f>
        <v/>
      </c>
    </row>
    <row r="13">
      <c r="A13" s="9" t="inlineStr">
        <is>
          <t>B. Samurai bulk prepay -10%</t>
        </is>
      </c>
      <c r="B13" s="24">
        <f>1000*SUMPRODUCT('Per-Tier Unit Economics'!I7:I13,'README &amp; Assumptions'!B36:B42)</f>
        <v/>
      </c>
      <c r="C13" s="24">
        <f>1000*SUMPRODUCT('User Behavior'!B21:B27,'README &amp; Assumptions'!B36:B42)*'README &amp; Assumptions'!C31*B7</f>
        <v/>
      </c>
      <c r="D13" s="24">
        <f>D7</f>
        <v/>
      </c>
      <c r="E13" s="25">
        <f>B13-C13-D13-(1000*'README &amp; Assumptions'!B53)</f>
        <v/>
      </c>
      <c r="F13" s="17">
        <f>IFERROR(E13/B13,0)</f>
        <v/>
      </c>
      <c r="G13" s="25">
        <f>E13*12</f>
        <v/>
      </c>
    </row>
    <row r="14">
      <c r="A14" s="9" t="inlineStr">
        <is>
          <t>C. eSIM Access direct -40%</t>
        </is>
      </c>
      <c r="B14" s="24">
        <f>1000*SUMPRODUCT('Per-Tier Unit Economics'!I7:I13,'README &amp; Assumptions'!B36:B42)</f>
        <v/>
      </c>
      <c r="C14" s="24">
        <f>1000*SUMPRODUCT('Per-Tier Unit Economics'!J7:J13,'README &amp; Assumptions'!B36:B42)*B8</f>
        <v/>
      </c>
      <c r="D14" s="24">
        <f>D8</f>
        <v/>
      </c>
      <c r="E14" s="25">
        <f>B14-C14-D14-(1000*'README &amp; Assumptions'!B53)</f>
        <v/>
      </c>
      <c r="F14" s="17">
        <f>IFERROR(E14/B14,0)</f>
        <v/>
      </c>
      <c r="G14" s="25">
        <f>E14*12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16" customWidth="1" min="4" max="4"/>
    <col width="14" customWidth="1" min="5" max="5"/>
    <col width="18" customWidth="1" min="6" max="6"/>
    <col width="22" customWidth="1" min="7" max="7"/>
  </cols>
  <sheetData>
    <row r="1">
      <c r="A1" s="1" t="inlineStr">
        <is>
          <t>24-Month Rollout — Base Scenario S-curve</t>
        </is>
      </c>
    </row>
    <row r="4">
      <c r="A4" s="8" t="inlineStr">
        <is>
          <t>Month</t>
        </is>
      </c>
      <c r="B4" s="8" t="inlineStr">
        <is>
          <t>Active Users</t>
        </is>
      </c>
      <c r="C4" s="8" t="inlineStr">
        <is>
          <t>Revenue</t>
        </is>
      </c>
      <c r="D4" s="8" t="inlineStr">
        <is>
          <t>COGS</t>
        </is>
      </c>
      <c r="E4" s="8" t="inlineStr">
        <is>
          <t>Opex</t>
        </is>
      </c>
      <c r="F4" s="8" t="inlineStr">
        <is>
          <t>Net Profit</t>
        </is>
      </c>
      <c r="G4" s="8" t="inlineStr">
        <is>
          <t>Cumulative Profit</t>
        </is>
      </c>
    </row>
    <row r="5">
      <c r="A5" s="9" t="inlineStr">
        <is>
          <t>M1</t>
        </is>
      </c>
      <c r="B5" s="23" t="n">
        <v>50</v>
      </c>
      <c r="C5" s="24">
        <f>B5*SUMPRODUCT('Per-Tier Unit Economics'!I7:I13,'README &amp; Assumptions'!B36:B42)</f>
        <v/>
      </c>
      <c r="D5" s="24">
        <f>B5*SUMPRODUCT('Per-Tier Unit Economics'!J7:J13,'README &amp; Assumptions'!B36:B42)</f>
        <v/>
      </c>
      <c r="E5" s="24">
        <f>B5*'README &amp; Assumptions'!B53</f>
        <v/>
      </c>
      <c r="F5" s="25">
        <f>C5-D5-E5</f>
        <v/>
      </c>
      <c r="G5" s="25">
        <f>F5</f>
        <v/>
      </c>
    </row>
    <row r="6">
      <c r="A6" s="9" t="inlineStr">
        <is>
          <t>M2</t>
        </is>
      </c>
      <c r="B6" s="23" t="n">
        <v>80</v>
      </c>
      <c r="C6" s="24">
        <f>B6*SUMPRODUCT('Per-Tier Unit Economics'!I7:I13,'README &amp; Assumptions'!B36:B42)</f>
        <v/>
      </c>
      <c r="D6" s="24">
        <f>B6*SUMPRODUCT('Per-Tier Unit Economics'!J7:J13,'README &amp; Assumptions'!B36:B42)</f>
        <v/>
      </c>
      <c r="E6" s="24">
        <f>B6*'README &amp; Assumptions'!B53</f>
        <v/>
      </c>
      <c r="F6" s="25">
        <f>C6-D6-E6</f>
        <v/>
      </c>
      <c r="G6" s="25">
        <f>G5+F6</f>
        <v/>
      </c>
    </row>
    <row r="7">
      <c r="A7" s="9" t="inlineStr">
        <is>
          <t>M3</t>
        </is>
      </c>
      <c r="B7" s="23" t="n">
        <v>130</v>
      </c>
      <c r="C7" s="24">
        <f>B7*SUMPRODUCT('Per-Tier Unit Economics'!I7:I13,'README &amp; Assumptions'!B36:B42)</f>
        <v/>
      </c>
      <c r="D7" s="24">
        <f>B7*SUMPRODUCT('Per-Tier Unit Economics'!J7:J13,'README &amp; Assumptions'!B36:B42)</f>
        <v/>
      </c>
      <c r="E7" s="24">
        <f>B7*'README &amp; Assumptions'!B53</f>
        <v/>
      </c>
      <c r="F7" s="25">
        <f>C7-D7-E7</f>
        <v/>
      </c>
      <c r="G7" s="25">
        <f>G6+F7</f>
        <v/>
      </c>
    </row>
    <row r="8">
      <c r="A8" s="9" t="inlineStr">
        <is>
          <t>M4</t>
        </is>
      </c>
      <c r="B8" s="23" t="n">
        <v>200</v>
      </c>
      <c r="C8" s="24">
        <f>B8*SUMPRODUCT('Per-Tier Unit Economics'!I7:I13,'README &amp; Assumptions'!B36:B42)</f>
        <v/>
      </c>
      <c r="D8" s="24">
        <f>B8*SUMPRODUCT('Per-Tier Unit Economics'!J7:J13,'README &amp; Assumptions'!B36:B42)</f>
        <v/>
      </c>
      <c r="E8" s="24">
        <f>B8*'README &amp; Assumptions'!B53</f>
        <v/>
      </c>
      <c r="F8" s="25">
        <f>C8-D8-E8</f>
        <v/>
      </c>
      <c r="G8" s="25">
        <f>G7+F8</f>
        <v/>
      </c>
    </row>
    <row r="9">
      <c r="A9" s="9" t="inlineStr">
        <is>
          <t>M5</t>
        </is>
      </c>
      <c r="B9" s="23" t="n">
        <v>300</v>
      </c>
      <c r="C9" s="24">
        <f>B9*SUMPRODUCT('Per-Tier Unit Economics'!I7:I13,'README &amp; Assumptions'!B36:B42)</f>
        <v/>
      </c>
      <c r="D9" s="24">
        <f>B9*SUMPRODUCT('Per-Tier Unit Economics'!J7:J13,'README &amp; Assumptions'!B36:B42)</f>
        <v/>
      </c>
      <c r="E9" s="24">
        <f>B9*'README &amp; Assumptions'!B53</f>
        <v/>
      </c>
      <c r="F9" s="25">
        <f>C9-D9-E9</f>
        <v/>
      </c>
      <c r="G9" s="25">
        <f>G8+F9</f>
        <v/>
      </c>
    </row>
    <row r="10">
      <c r="A10" s="9" t="inlineStr">
        <is>
          <t>M6</t>
        </is>
      </c>
      <c r="B10" s="23" t="n">
        <v>450</v>
      </c>
      <c r="C10" s="24">
        <f>B10*SUMPRODUCT('Per-Tier Unit Economics'!I7:I13,'README &amp; Assumptions'!B36:B42)</f>
        <v/>
      </c>
      <c r="D10" s="24">
        <f>B10*SUMPRODUCT('Per-Tier Unit Economics'!J7:J13,'README &amp; Assumptions'!B36:B42)</f>
        <v/>
      </c>
      <c r="E10" s="24">
        <f>B10*'README &amp; Assumptions'!B53</f>
        <v/>
      </c>
      <c r="F10" s="25">
        <f>C10-D10-E10</f>
        <v/>
      </c>
      <c r="G10" s="25">
        <f>G9+F10</f>
        <v/>
      </c>
    </row>
    <row r="11">
      <c r="A11" s="9" t="inlineStr">
        <is>
          <t>M7</t>
        </is>
      </c>
      <c r="B11" s="23" t="n">
        <v>650</v>
      </c>
      <c r="C11" s="24">
        <f>B11*SUMPRODUCT('Per-Tier Unit Economics'!I7:I13,'README &amp; Assumptions'!B36:B42)</f>
        <v/>
      </c>
      <c r="D11" s="24">
        <f>B11*SUMPRODUCT('Per-Tier Unit Economics'!J7:J13,'README &amp; Assumptions'!B36:B42)</f>
        <v/>
      </c>
      <c r="E11" s="24">
        <f>B11*'README &amp; Assumptions'!B53</f>
        <v/>
      </c>
      <c r="F11" s="25">
        <f>C11-D11-E11</f>
        <v/>
      </c>
      <c r="G11" s="25">
        <f>G10+F11</f>
        <v/>
      </c>
    </row>
    <row r="12">
      <c r="A12" s="9" t="inlineStr">
        <is>
          <t>M8</t>
        </is>
      </c>
      <c r="B12" s="23" t="n">
        <v>900</v>
      </c>
      <c r="C12" s="24">
        <f>B12*SUMPRODUCT('Per-Tier Unit Economics'!I7:I13,'README &amp; Assumptions'!B36:B42)</f>
        <v/>
      </c>
      <c r="D12" s="24">
        <f>B12*SUMPRODUCT('Per-Tier Unit Economics'!J7:J13,'README &amp; Assumptions'!B36:B42)</f>
        <v/>
      </c>
      <c r="E12" s="24">
        <f>B12*'README &amp; Assumptions'!B53</f>
        <v/>
      </c>
      <c r="F12" s="25">
        <f>C12-D12-E12</f>
        <v/>
      </c>
      <c r="G12" s="25">
        <f>G11+F12</f>
        <v/>
      </c>
    </row>
    <row r="13">
      <c r="A13" s="9" t="inlineStr">
        <is>
          <t>M9</t>
        </is>
      </c>
      <c r="B13" s="23" t="n">
        <v>1200</v>
      </c>
      <c r="C13" s="24">
        <f>B13*SUMPRODUCT('Per-Tier Unit Economics'!I7:I13,'README &amp; Assumptions'!B36:B42)</f>
        <v/>
      </c>
      <c r="D13" s="24">
        <f>B13*SUMPRODUCT('Per-Tier Unit Economics'!J7:J13,'README &amp; Assumptions'!B36:B42)</f>
        <v/>
      </c>
      <c r="E13" s="24">
        <f>B13*'README &amp; Assumptions'!B53</f>
        <v/>
      </c>
      <c r="F13" s="25">
        <f>C13-D13-E13</f>
        <v/>
      </c>
      <c r="G13" s="25">
        <f>G12+F13</f>
        <v/>
      </c>
    </row>
    <row r="14">
      <c r="A14" s="9" t="inlineStr">
        <is>
          <t>M10</t>
        </is>
      </c>
      <c r="B14" s="23" t="n">
        <v>1500</v>
      </c>
      <c r="C14" s="24">
        <f>B14*SUMPRODUCT('Per-Tier Unit Economics'!I7:I13,'README &amp; Assumptions'!B36:B42)</f>
        <v/>
      </c>
      <c r="D14" s="24">
        <f>B14*SUMPRODUCT('Per-Tier Unit Economics'!J7:J13,'README &amp; Assumptions'!B36:B42)</f>
        <v/>
      </c>
      <c r="E14" s="24">
        <f>B14*'README &amp; Assumptions'!B53</f>
        <v/>
      </c>
      <c r="F14" s="25">
        <f>C14-D14-E14</f>
        <v/>
      </c>
      <c r="G14" s="25">
        <f>G13+F14</f>
        <v/>
      </c>
    </row>
    <row r="15">
      <c r="A15" s="9" t="inlineStr">
        <is>
          <t>M11</t>
        </is>
      </c>
      <c r="B15" s="23" t="n">
        <v>1800</v>
      </c>
      <c r="C15" s="24">
        <f>B15*SUMPRODUCT('Per-Tier Unit Economics'!I7:I13,'README &amp; Assumptions'!B36:B42)</f>
        <v/>
      </c>
      <c r="D15" s="24">
        <f>B15*SUMPRODUCT('Per-Tier Unit Economics'!J7:J13,'README &amp; Assumptions'!B36:B42)</f>
        <v/>
      </c>
      <c r="E15" s="24">
        <f>B15*'README &amp; Assumptions'!B53</f>
        <v/>
      </c>
      <c r="F15" s="25">
        <f>C15-D15-E15</f>
        <v/>
      </c>
      <c r="G15" s="25">
        <f>G14+F15</f>
        <v/>
      </c>
    </row>
    <row r="16">
      <c r="A16" s="9" t="inlineStr">
        <is>
          <t>M12</t>
        </is>
      </c>
      <c r="B16" s="23" t="n">
        <v>2100</v>
      </c>
      <c r="C16" s="24">
        <f>B16*SUMPRODUCT('Per-Tier Unit Economics'!I7:I13,'README &amp; Assumptions'!B36:B42)</f>
        <v/>
      </c>
      <c r="D16" s="24">
        <f>B16*SUMPRODUCT('Per-Tier Unit Economics'!J7:J13,'README &amp; Assumptions'!B36:B42)</f>
        <v/>
      </c>
      <c r="E16" s="24">
        <f>B16*'README &amp; Assumptions'!B53</f>
        <v/>
      </c>
      <c r="F16" s="25">
        <f>C16-D16-E16</f>
        <v/>
      </c>
      <c r="G16" s="25">
        <f>G15+F16</f>
        <v/>
      </c>
    </row>
    <row r="17">
      <c r="A17" s="9" t="inlineStr">
        <is>
          <t>M13</t>
        </is>
      </c>
      <c r="B17" s="23" t="n">
        <v>2400</v>
      </c>
      <c r="C17" s="24">
        <f>B17*SUMPRODUCT('Per-Tier Unit Economics'!I7:I13,'README &amp; Assumptions'!B36:B42)</f>
        <v/>
      </c>
      <c r="D17" s="24">
        <f>B17*SUMPRODUCT('Per-Tier Unit Economics'!J7:J13,'README &amp; Assumptions'!B36:B42)</f>
        <v/>
      </c>
      <c r="E17" s="24">
        <f>B17*'README &amp; Assumptions'!B53</f>
        <v/>
      </c>
      <c r="F17" s="25">
        <f>C17-D17-E17</f>
        <v/>
      </c>
      <c r="G17" s="25">
        <f>G16+F17</f>
        <v/>
      </c>
    </row>
    <row r="18">
      <c r="A18" s="9" t="inlineStr">
        <is>
          <t>M14</t>
        </is>
      </c>
      <c r="B18" s="23" t="n">
        <v>2700</v>
      </c>
      <c r="C18" s="24">
        <f>B18*SUMPRODUCT('Per-Tier Unit Economics'!I7:I13,'README &amp; Assumptions'!B36:B42)</f>
        <v/>
      </c>
      <c r="D18" s="24">
        <f>B18*SUMPRODUCT('Per-Tier Unit Economics'!J7:J13,'README &amp; Assumptions'!B36:B42)</f>
        <v/>
      </c>
      <c r="E18" s="24">
        <f>B18*'README &amp; Assumptions'!B53</f>
        <v/>
      </c>
      <c r="F18" s="25">
        <f>C18-D18-E18</f>
        <v/>
      </c>
      <c r="G18" s="25">
        <f>G17+F18</f>
        <v/>
      </c>
    </row>
    <row r="19">
      <c r="A19" s="9" t="inlineStr">
        <is>
          <t>M15</t>
        </is>
      </c>
      <c r="B19" s="23" t="n">
        <v>3000</v>
      </c>
      <c r="C19" s="24">
        <f>B19*SUMPRODUCT('Per-Tier Unit Economics'!I7:I13,'README &amp; Assumptions'!B36:B42)</f>
        <v/>
      </c>
      <c r="D19" s="24">
        <f>B19*SUMPRODUCT('Per-Tier Unit Economics'!J7:J13,'README &amp; Assumptions'!B36:B42)</f>
        <v/>
      </c>
      <c r="E19" s="24">
        <f>B19*'README &amp; Assumptions'!B53</f>
        <v/>
      </c>
      <c r="F19" s="25">
        <f>C19-D19-E19</f>
        <v/>
      </c>
      <c r="G19" s="25">
        <f>G18+F19</f>
        <v/>
      </c>
    </row>
    <row r="20">
      <c r="A20" s="9" t="inlineStr">
        <is>
          <t>M16</t>
        </is>
      </c>
      <c r="B20" s="23" t="n">
        <v>3300</v>
      </c>
      <c r="C20" s="24">
        <f>B20*SUMPRODUCT('Per-Tier Unit Economics'!I7:I13,'README &amp; Assumptions'!B36:B42)</f>
        <v/>
      </c>
      <c r="D20" s="24">
        <f>B20*SUMPRODUCT('Per-Tier Unit Economics'!J7:J13,'README &amp; Assumptions'!B36:B42)</f>
        <v/>
      </c>
      <c r="E20" s="24">
        <f>B20*'README &amp; Assumptions'!B53</f>
        <v/>
      </c>
      <c r="F20" s="25">
        <f>C20-D20-E20</f>
        <v/>
      </c>
      <c r="G20" s="25">
        <f>G19+F20</f>
        <v/>
      </c>
    </row>
    <row r="21">
      <c r="A21" s="9" t="inlineStr">
        <is>
          <t>M17</t>
        </is>
      </c>
      <c r="B21" s="23" t="n">
        <v>3600</v>
      </c>
      <c r="C21" s="24">
        <f>B21*SUMPRODUCT('Per-Tier Unit Economics'!I7:I13,'README &amp; Assumptions'!B36:B42)</f>
        <v/>
      </c>
      <c r="D21" s="24">
        <f>B21*SUMPRODUCT('Per-Tier Unit Economics'!J7:J13,'README &amp; Assumptions'!B36:B42)</f>
        <v/>
      </c>
      <c r="E21" s="24">
        <f>B21*'README &amp; Assumptions'!B53</f>
        <v/>
      </c>
      <c r="F21" s="25">
        <f>C21-D21-E21</f>
        <v/>
      </c>
      <c r="G21" s="25">
        <f>G20+F21</f>
        <v/>
      </c>
    </row>
    <row r="22">
      <c r="A22" s="9" t="inlineStr">
        <is>
          <t>M18</t>
        </is>
      </c>
      <c r="B22" s="23" t="n">
        <v>3900</v>
      </c>
      <c r="C22" s="24">
        <f>B22*SUMPRODUCT('Per-Tier Unit Economics'!I7:I13,'README &amp; Assumptions'!B36:B42)</f>
        <v/>
      </c>
      <c r="D22" s="24">
        <f>B22*SUMPRODUCT('Per-Tier Unit Economics'!J7:J13,'README &amp; Assumptions'!B36:B42)</f>
        <v/>
      </c>
      <c r="E22" s="24">
        <f>B22*'README &amp; Assumptions'!B53</f>
        <v/>
      </c>
      <c r="F22" s="25">
        <f>C22-D22-E22</f>
        <v/>
      </c>
      <c r="G22" s="25">
        <f>G21+F22</f>
        <v/>
      </c>
    </row>
    <row r="23">
      <c r="A23" s="9" t="inlineStr">
        <is>
          <t>M19</t>
        </is>
      </c>
      <c r="B23" s="23" t="n">
        <v>4200</v>
      </c>
      <c r="C23" s="24">
        <f>B23*SUMPRODUCT('Per-Tier Unit Economics'!I7:I13,'README &amp; Assumptions'!B36:B42)</f>
        <v/>
      </c>
      <c r="D23" s="24">
        <f>B23*SUMPRODUCT('Per-Tier Unit Economics'!J7:J13,'README &amp; Assumptions'!B36:B42)</f>
        <v/>
      </c>
      <c r="E23" s="24">
        <f>B23*'README &amp; Assumptions'!B53</f>
        <v/>
      </c>
      <c r="F23" s="25">
        <f>C23-D23-E23</f>
        <v/>
      </c>
      <c r="G23" s="25">
        <f>G22+F23</f>
        <v/>
      </c>
    </row>
    <row r="24">
      <c r="A24" s="9" t="inlineStr">
        <is>
          <t>M20</t>
        </is>
      </c>
      <c r="B24" s="23" t="n">
        <v>4500</v>
      </c>
      <c r="C24" s="24">
        <f>B24*SUMPRODUCT('Per-Tier Unit Economics'!I7:I13,'README &amp; Assumptions'!B36:B42)</f>
        <v/>
      </c>
      <c r="D24" s="24">
        <f>B24*SUMPRODUCT('Per-Tier Unit Economics'!J7:J13,'README &amp; Assumptions'!B36:B42)</f>
        <v/>
      </c>
      <c r="E24" s="24">
        <f>B24*'README &amp; Assumptions'!B53</f>
        <v/>
      </c>
      <c r="F24" s="25">
        <f>C24-D24-E24</f>
        <v/>
      </c>
      <c r="G24" s="25">
        <f>G23+F24</f>
        <v/>
      </c>
    </row>
    <row r="25">
      <c r="A25" s="9" t="inlineStr">
        <is>
          <t>M21</t>
        </is>
      </c>
      <c r="B25" s="23" t="n">
        <v>4700</v>
      </c>
      <c r="C25" s="24">
        <f>B25*SUMPRODUCT('Per-Tier Unit Economics'!I7:I13,'README &amp; Assumptions'!B36:B42)</f>
        <v/>
      </c>
      <c r="D25" s="24">
        <f>B25*SUMPRODUCT('Per-Tier Unit Economics'!J7:J13,'README &amp; Assumptions'!B36:B42)</f>
        <v/>
      </c>
      <c r="E25" s="24">
        <f>B25*'README &amp; Assumptions'!B53</f>
        <v/>
      </c>
      <c r="F25" s="25">
        <f>C25-D25-E25</f>
        <v/>
      </c>
      <c r="G25" s="25">
        <f>G24+F25</f>
        <v/>
      </c>
    </row>
    <row r="26">
      <c r="A26" s="9" t="inlineStr">
        <is>
          <t>M22</t>
        </is>
      </c>
      <c r="B26" s="23" t="n">
        <v>4850</v>
      </c>
      <c r="C26" s="24">
        <f>B26*SUMPRODUCT('Per-Tier Unit Economics'!I7:I13,'README &amp; Assumptions'!B36:B42)</f>
        <v/>
      </c>
      <c r="D26" s="24">
        <f>B26*SUMPRODUCT('Per-Tier Unit Economics'!J7:J13,'README &amp; Assumptions'!B36:B42)</f>
        <v/>
      </c>
      <c r="E26" s="24">
        <f>B26*'README &amp; Assumptions'!B53</f>
        <v/>
      </c>
      <c r="F26" s="25">
        <f>C26-D26-E26</f>
        <v/>
      </c>
      <c r="G26" s="25">
        <f>G25+F26</f>
        <v/>
      </c>
    </row>
    <row r="27">
      <c r="A27" s="9" t="inlineStr">
        <is>
          <t>M23</t>
        </is>
      </c>
      <c r="B27" s="23" t="n">
        <v>4950</v>
      </c>
      <c r="C27" s="24">
        <f>B27*SUMPRODUCT('Per-Tier Unit Economics'!I7:I13,'README &amp; Assumptions'!B36:B42)</f>
        <v/>
      </c>
      <c r="D27" s="24">
        <f>B27*SUMPRODUCT('Per-Tier Unit Economics'!J7:J13,'README &amp; Assumptions'!B36:B42)</f>
        <v/>
      </c>
      <c r="E27" s="24">
        <f>B27*'README &amp; Assumptions'!B53</f>
        <v/>
      </c>
      <c r="F27" s="25">
        <f>C27-D27-E27</f>
        <v/>
      </c>
      <c r="G27" s="25">
        <f>G26+F27</f>
        <v/>
      </c>
    </row>
    <row r="28">
      <c r="A28" s="9" t="inlineStr">
        <is>
          <t>M24</t>
        </is>
      </c>
      <c r="B28" s="23" t="n">
        <v>5000</v>
      </c>
      <c r="C28" s="24">
        <f>B28*SUMPRODUCT('Per-Tier Unit Economics'!I7:I13,'README &amp; Assumptions'!B36:B42)</f>
        <v/>
      </c>
      <c r="D28" s="24">
        <f>B28*SUMPRODUCT('Per-Tier Unit Economics'!J7:J13,'README &amp; Assumptions'!B36:B42)</f>
        <v/>
      </c>
      <c r="E28" s="24">
        <f>B28*'README &amp; Assumptions'!B53</f>
        <v/>
      </c>
      <c r="F28" s="25">
        <f>C28-D28-E28</f>
        <v/>
      </c>
      <c r="G28" s="25">
        <f>G27+F28</f>
        <v/>
      </c>
    </row>
    <row r="29">
      <c r="A29" s="9" t="inlineStr">
        <is>
          <t>24-MO TOTAL</t>
        </is>
      </c>
      <c r="C29" s="25">
        <f>SUM(C5:C28)</f>
        <v/>
      </c>
      <c r="D29" s="25">
        <f>SUM(D5:D28)</f>
        <v/>
      </c>
      <c r="E29" s="25">
        <f>SUM(E5:E28)</f>
        <v/>
      </c>
      <c r="F29" s="25">
        <f>SUM(F5:F28)</f>
        <v/>
      </c>
      <c r="G29" s="25">
        <f>G28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selection activeCell="A1" sqref="A1"/>
    </sheetView>
  </sheetViews>
  <sheetFormatPr baseColWidth="8" defaultRowHeight="15"/>
  <cols>
    <col width="36" customWidth="1" min="1" max="1"/>
    <col width="12" customWidth="1" min="2" max="2"/>
    <col width="14" customWidth="1" min="3" max="3"/>
    <col width="12" customWidth="1" min="4" max="4"/>
    <col width="12" customWidth="1" min="5" max="5"/>
    <col width="16" customWidth="1" min="6" max="6"/>
    <col width="16" customWidth="1" min="7" max="7"/>
    <col width="14" customWidth="1" min="8" max="8"/>
  </cols>
  <sheetData>
    <row r="1">
      <c r="A1" s="1" t="inlineStr">
        <is>
          <t>Behavior Sensitivity — net profit vs user behavior mix @ 1,000 users</t>
        </is>
      </c>
    </row>
    <row r="2">
      <c r="A2" s="2" t="inlineStr">
        <is>
          <t>How much of the 'pool unused = breakage revenue' effect changes with user behavior.</t>
        </is>
      </c>
    </row>
    <row r="4">
      <c r="A4" s="8" t="inlineStr">
        <is>
          <t>Mix Profile</t>
        </is>
      </c>
      <c r="B4" s="8" t="inlineStr">
        <is>
          <t>% Light</t>
        </is>
      </c>
      <c r="C4" s="8" t="inlineStr">
        <is>
          <t>% Average</t>
        </is>
      </c>
      <c r="D4" s="8" t="inlineStr">
        <is>
          <t>% Heavy</t>
        </is>
      </c>
      <c r="E4" s="8" t="inlineStr">
        <is>
          <t>% Churner</t>
        </is>
      </c>
      <c r="F4" s="8" t="inlineStr">
        <is>
          <t>Avg % Consumed</t>
        </is>
      </c>
      <c r="G4" s="8" t="inlineStr">
        <is>
          <t>Monthly Net</t>
        </is>
      </c>
      <c r="H4" s="8" t="inlineStr">
        <is>
          <t>Net Margin %</t>
        </is>
      </c>
    </row>
    <row r="5">
      <c r="A5" s="9" t="inlineStr">
        <is>
          <t>Healthy SaaS (general travel — old base, upside)</t>
        </is>
      </c>
      <c r="B5" s="13" t="n">
        <v>0.4</v>
      </c>
      <c r="C5" s="13" t="n">
        <v>0.35</v>
      </c>
      <c r="D5" s="13" t="n">
        <v>0.2</v>
      </c>
      <c r="E5" s="13" t="n">
        <v>0.05</v>
      </c>
      <c r="F5" s="17">
        <f>B5*0.30+C5*0.65+D5*0.95+E5*0.10</f>
        <v/>
      </c>
      <c r="G5" s="25">
        <f>(1000*SUMPRODUCT('Per-Tier Unit Economics'!I7:I13,'README &amp; Assumptions'!B36:B42))-(1000*SUMPRODUCT('User Behavior'!B21:B27,'README &amp; Assumptions'!B36:B42)*'README &amp; Assumptions'!C31*F5)-(1000*'README &amp; Assumptions'!B53)</f>
        <v/>
      </c>
      <c r="H5" s="26">
        <f>IFERROR(G5/(1000*SUMPRODUCT('Per-Tier Unit Economics'!I7:I13,'README &amp; Assumptions'!B36:B42)),0)</f>
        <v/>
      </c>
    </row>
    <row r="6">
      <c r="A6" s="9" t="inlineStr">
        <is>
          <t>Base (crew-skewed — new default)</t>
        </is>
      </c>
      <c r="B6" s="13" t="n">
        <v>0.25</v>
      </c>
      <c r="C6" s="13" t="n">
        <v>0.4</v>
      </c>
      <c r="D6" s="13" t="n">
        <v>0.3</v>
      </c>
      <c r="E6" s="13" t="n">
        <v>0.05</v>
      </c>
      <c r="F6" s="17">
        <f>B6*0.30+C6*0.65+D6*0.95+E6*0.10</f>
        <v/>
      </c>
      <c r="G6" s="25">
        <f>(1000*SUMPRODUCT('Per-Tier Unit Economics'!I7:I13,'README &amp; Assumptions'!B36:B42))-(1000*SUMPRODUCT('User Behavior'!B21:B27,'README &amp; Assumptions'!B36:B42)*'README &amp; Assumptions'!C31*F6)-(1000*'README &amp; Assumptions'!B53)</f>
        <v/>
      </c>
      <c r="H6" s="26">
        <f>IFERROR(G6/(1000*SUMPRODUCT('Per-Tier Unit Economics'!I7:I13,'README &amp; Assumptions'!B36:B42)),0)</f>
        <v/>
      </c>
    </row>
    <row r="7">
      <c r="A7" s="9" t="inlineStr">
        <is>
          <t>Pure crew (power users dominate — downside)</t>
        </is>
      </c>
      <c r="B7" s="13" t="n">
        <v>0.15</v>
      </c>
      <c r="C7" s="13" t="n">
        <v>0.35</v>
      </c>
      <c r="D7" s="13" t="n">
        <v>0.45</v>
      </c>
      <c r="E7" s="13" t="n">
        <v>0.05</v>
      </c>
      <c r="F7" s="17">
        <f>B7*0.30+C7*0.65+D7*0.95+E7*0.10</f>
        <v/>
      </c>
      <c r="G7" s="25">
        <f>(1000*SUMPRODUCT('Per-Tier Unit Economics'!I7:I13,'README &amp; Assumptions'!B36:B42))-(1000*SUMPRODUCT('User Behavior'!B21:B27,'README &amp; Assumptions'!B36:B42)*'README &amp; Assumptions'!C31*F7)-(1000*'README &amp; Assumptions'!B53)</f>
        <v/>
      </c>
      <c r="H7" s="26">
        <f>IFERROR(G7/(1000*SUMPRODUCT('Per-Tier Unit Economics'!I7:I13,'README &amp; Assumptions'!B36:B42)),0)</f>
        <v/>
      </c>
    </row>
    <row r="8">
      <c r="A8" s="9" t="inlineStr">
        <is>
          <t>High churn (bad acquisition)</t>
        </is>
      </c>
      <c r="B8" s="13" t="n">
        <v>0.3</v>
      </c>
      <c r="C8" s="13" t="n">
        <v>0.25</v>
      </c>
      <c r="D8" s="13" t="n">
        <v>0.15</v>
      </c>
      <c r="E8" s="13" t="n">
        <v>0.3</v>
      </c>
      <c r="F8" s="17">
        <f>B8*0.30+C8*0.65+D8*0.95+E8*0.10</f>
        <v/>
      </c>
      <c r="G8" s="25">
        <f>(1000*SUMPRODUCT('Per-Tier Unit Economics'!I7:I13,'README &amp; Assumptions'!B36:B42))-(1000*SUMPRODUCT('User Behavior'!B21:B27,'README &amp; Assumptions'!B36:B42)*'README &amp; Assumptions'!C31*F8)-(1000*'README &amp; Assumptions'!B53)</f>
        <v/>
      </c>
      <c r="H8" s="26">
        <f>IFERROR(G8/(1000*SUMPRODUCT('Per-Tier Unit Economics'!I7:I13,'README &amp; Assumptions'!B36:B42)),0)</f>
        <v/>
      </c>
    </row>
    <row r="11">
      <c r="A11" s="40" t="inlineStr">
        <is>
          <t>CABIN-CLASS MIX SENSITIVITY</t>
        </is>
      </c>
    </row>
    <row r="12">
      <c r="A12" s="39" t="inlineStr">
        <is>
          <t>These mix % are educated guesses (not hard data for eSIM-for-crew). This stress-test shows what happens to blended ARPU under different assumptions.</t>
        </is>
      </c>
    </row>
    <row r="14">
      <c r="A14" s="41" t="inlineStr">
        <is>
          <t>Scenario</t>
        </is>
      </c>
      <c r="B14" s="41" t="inlineStr">
        <is>
          <t>Econ %</t>
        </is>
      </c>
      <c r="C14" s="41" t="inlineStr">
        <is>
          <t>Roster %</t>
        </is>
      </c>
      <c r="D14" s="41" t="inlineStr">
        <is>
          <t>Prem %</t>
        </is>
      </c>
      <c r="E14" s="41" t="inlineStr">
        <is>
          <t>Biz %</t>
        </is>
      </c>
      <c r="F14" s="41" t="inlineStr">
        <is>
          <t>First %</t>
        </is>
      </c>
      <c r="G14" s="41" t="inlineStr">
        <is>
          <t>Suite %</t>
        </is>
      </c>
      <c r="H14" s="41" t="inlineStr">
        <is>
          <t>Cockpit %</t>
        </is>
      </c>
      <c r="I14" s="41" t="inlineStr">
        <is>
          <t>Blended ARPU</t>
        </is>
      </c>
      <c r="J14" s="41" t="inlineStr">
        <is>
          <t>Notes</t>
        </is>
      </c>
    </row>
    <row r="15">
      <c r="A15" s="90" t="inlineStr">
        <is>
          <t>Pessimistic (low conversion)</t>
        </is>
      </c>
      <c r="B15" s="57" t="n">
        <v>0.7</v>
      </c>
      <c r="C15" s="57" t="n">
        <v>0.1</v>
      </c>
      <c r="D15" s="57" t="n">
        <v>0.08</v>
      </c>
      <c r="E15" s="57" t="n">
        <v>0.04</v>
      </c>
      <c r="F15" s="57" t="n">
        <v>0.02</v>
      </c>
      <c r="G15" s="57" t="n">
        <v>0.01</v>
      </c>
      <c r="H15" s="57" t="n">
        <v>0.02</v>
      </c>
      <c r="I15" s="54" t="n">
        <v>15.1679</v>
      </c>
      <c r="J15" s="39" t="inlineStr">
        <is>
          <t>Most users stay PAYG. Worst case for ARPU.</t>
        </is>
      </c>
    </row>
    <row r="16">
      <c r="A16" s="90" t="inlineStr">
        <is>
          <t>Early-stage (months 1-6)</t>
        </is>
      </c>
      <c r="B16" s="57" t="n">
        <v>0.8</v>
      </c>
      <c r="C16" s="57" t="n">
        <v>0.1</v>
      </c>
      <c r="D16" s="57" t="n">
        <v>0.05</v>
      </c>
      <c r="E16" s="57" t="n">
        <v>0.03</v>
      </c>
      <c r="F16" s="57" t="n">
        <v>0.01</v>
      </c>
      <c r="G16" s="57" t="n">
        <v>0.005</v>
      </c>
      <c r="H16" s="57" t="n">
        <v>0.005</v>
      </c>
      <c r="I16" s="54" t="n">
        <v>14.55265</v>
      </c>
      <c r="J16" s="39" t="inlineStr">
        <is>
          <t>Realistic launch period — heavy Economy mix.</t>
        </is>
      </c>
    </row>
    <row r="17">
      <c r="A17" s="93" t="inlineStr">
        <is>
          <t>Base / current model</t>
        </is>
      </c>
      <c r="B17" s="56" t="n">
        <v>0.5</v>
      </c>
      <c r="C17" s="56" t="n">
        <v>0.18</v>
      </c>
      <c r="D17" s="56" t="n">
        <v>0.13</v>
      </c>
      <c r="E17" s="56" t="n">
        <v>0.08</v>
      </c>
      <c r="F17" s="56" t="n">
        <v>0.03</v>
      </c>
      <c r="G17" s="56" t="n">
        <v>0.02</v>
      </c>
      <c r="H17" s="56" t="n">
        <v>0.03</v>
      </c>
      <c r="I17" s="59" t="n">
        <v>17.516</v>
      </c>
      <c r="J17" s="77" t="inlineStr">
        <is>
          <t>Steady-state guess. CURRENT MODEL.</t>
        </is>
      </c>
    </row>
    <row r="18">
      <c r="A18" s="90" t="inlineStr">
        <is>
          <t>Optimistic (high conversion)</t>
        </is>
      </c>
      <c r="B18" s="57" t="n">
        <v>0.35</v>
      </c>
      <c r="C18" s="57" t="n">
        <v>0.22</v>
      </c>
      <c r="D18" s="57" t="n">
        <v>0.18</v>
      </c>
      <c r="E18" s="57" t="n">
        <v>0.12</v>
      </c>
      <c r="F18" s="57" t="n">
        <v>0.05</v>
      </c>
      <c r="G18" s="57" t="n">
        <v>0.03</v>
      </c>
      <c r="H18" s="57" t="n">
        <v>0.05</v>
      </c>
      <c r="I18" s="54" t="n">
        <v>20.3392</v>
      </c>
      <c r="J18" s="39" t="inlineStr">
        <is>
          <t>Strong subscription uptake.</t>
        </is>
      </c>
    </row>
    <row r="19">
      <c r="A19" s="90" t="inlineStr">
        <is>
          <t>Subscription-heavy (year 2+)</t>
        </is>
      </c>
      <c r="B19" s="57" t="n">
        <v>0.3</v>
      </c>
      <c r="C19" s="57" t="n">
        <v>0.2</v>
      </c>
      <c r="D19" s="57" t="n">
        <v>0.2</v>
      </c>
      <c r="E19" s="57" t="n">
        <v>0.15</v>
      </c>
      <c r="F19" s="57" t="n">
        <v>0.06</v>
      </c>
      <c r="G19" s="57" t="n">
        <v>0.04</v>
      </c>
      <c r="H19" s="57" t="n">
        <v>0.05</v>
      </c>
      <c r="I19" s="54" t="n">
        <v>21.4755</v>
      </c>
      <c r="J19" s="39" t="inlineStr">
        <is>
          <t>Mature population after Cockpit/First grow.</t>
        </is>
      </c>
    </row>
    <row r="21">
      <c r="A21" s="94" t="inlineStr">
        <is>
          <t>BLENDED ARPU RANGE</t>
        </is>
      </c>
      <c r="I21" s="94" t="inlineStr">
        <is>
          <t>$14.55 – $21.48</t>
        </is>
      </c>
    </row>
  </sheetData>
  <mergeCells count="1">
    <mergeCell ref="A12:H12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4" customWidth="1" min="8" max="8"/>
  </cols>
  <sheetData>
    <row r="1">
      <c r="A1" s="1" t="inlineStr">
        <is>
          <t>LTV / CAC + Per-Tier Churn</t>
        </is>
      </c>
    </row>
    <row r="2">
      <c r="A2" s="14" t="inlineStr">
        <is>
          <t>How much can we spend to acquire each tier? LTV:CAC ratio + payback period.</t>
        </is>
      </c>
    </row>
    <row r="4">
      <c r="A4" s="3" t="inlineStr">
        <is>
          <t>PER-TIER MONTHLY CHURN</t>
        </is>
      </c>
    </row>
    <row r="5">
      <c r="A5" s="8" t="inlineStr">
        <is>
          <t>Tier</t>
        </is>
      </c>
      <c r="B5" s="8" t="inlineStr">
        <is>
          <t>Monthly Churn %</t>
        </is>
      </c>
      <c r="C5" s="8" t="inlineStr">
        <is>
          <t>Avg Lifetime (mo)</t>
        </is>
      </c>
      <c r="D5" s="8" t="inlineStr">
        <is>
          <t>Notes</t>
        </is>
      </c>
    </row>
    <row r="6">
      <c r="A6" s="9" t="inlineStr">
        <is>
          <t>Economy</t>
        </is>
      </c>
      <c r="B6" s="29" t="n">
        <v>0.18</v>
      </c>
      <c r="C6" s="20">
        <f>IFERROR(1/B6,0)</f>
        <v/>
      </c>
      <c r="D6" s="14" t="inlineStr">
        <is>
          <t>1-month casuals, trial users</t>
        </is>
      </c>
    </row>
    <row r="7">
      <c r="A7" s="9" t="inlineStr">
        <is>
          <t>Roster Bundle</t>
        </is>
      </c>
      <c r="B7" s="29" t="n">
        <v>0.1</v>
      </c>
      <c r="C7" s="20">
        <f>IFERROR(1/B7,0)</f>
        <v/>
      </c>
      <c r="D7" s="14" t="inlineStr">
        <is>
          <t>Sticky once roster sync set up</t>
        </is>
      </c>
    </row>
    <row r="8">
      <c r="A8" s="9" t="inlineStr">
        <is>
          <t>Premium Economy</t>
        </is>
      </c>
      <c r="B8" s="29" t="n">
        <v>0.1</v>
      </c>
      <c r="C8" s="20">
        <f>IFERROR(1/B8,0)</f>
        <v/>
      </c>
      <c r="D8" s="14" t="inlineStr">
        <is>
          <t>Light commitment</t>
        </is>
      </c>
    </row>
    <row r="9">
      <c r="A9" s="9" t="inlineStr">
        <is>
          <t>Business</t>
        </is>
      </c>
      <c r="B9" s="29" t="n">
        <v>0.09</v>
      </c>
      <c r="C9" s="20">
        <f>IFERROR(1/B9,0)</f>
        <v/>
      </c>
      <c r="D9" s="14" t="inlineStr">
        <is>
          <t>Pool habit forms, high retention</t>
        </is>
      </c>
    </row>
    <row r="10">
      <c r="A10" s="9" t="inlineStr">
        <is>
          <t>First</t>
        </is>
      </c>
      <c r="B10" s="29" t="n">
        <v>0.08</v>
      </c>
      <c r="C10" s="20">
        <f>IFERROR(1/B10,0)</f>
        <v/>
      </c>
      <c r="D10" s="14" t="inlineStr">
        <is>
          <t>Power users, perks lock in</t>
        </is>
      </c>
    </row>
    <row r="11">
      <c r="A11" s="9" t="inlineStr">
        <is>
          <t>First Suite</t>
        </is>
      </c>
      <c r="B11" s="29" t="n">
        <v>0.07000000000000001</v>
      </c>
      <c r="C11" s="20">
        <f>IFERROR(1/B11,0)</f>
        <v/>
      </c>
      <c r="D11" s="14" t="inlineStr">
        <is>
          <t>Top of ladder — concierge + status badge</t>
        </is>
      </c>
    </row>
    <row r="12">
      <c r="A12" s="9" t="inlineStr">
        <is>
          <t>Cockpit</t>
        </is>
      </c>
      <c r="B12" s="29" t="n">
        <v>0.006</v>
      </c>
      <c r="C12" s="20">
        <f>IFERROR(1/B12,0)</f>
        <v/>
      </c>
      <c r="D12" s="14" t="inlineStr">
        <is>
          <t>Annual prepay = automatic 12-mo retention</t>
        </is>
      </c>
    </row>
    <row r="13">
      <c r="A13" t="inlineStr">
        <is>
          <t>Refuel (add-on)</t>
        </is>
      </c>
      <c r="B13" t="n">
        <v>0.15</v>
      </c>
      <c r="C13">
        <f>IFERROR(1/B13,0)</f>
        <v/>
      </c>
      <c r="D13" t="inlineStr">
        <is>
          <t>Per-purchase, no subscription</t>
        </is>
      </c>
    </row>
    <row r="15">
      <c r="A15" s="3" t="n"/>
    </row>
    <row r="16">
      <c r="A16" s="8" t="inlineStr">
        <is>
          <t>CUSTOMER ACQUISITION COST (per-channel blended avg)</t>
        </is>
      </c>
      <c r="B16" s="8" t="n"/>
      <c r="C16" s="8" t="n"/>
      <c r="D16" s="8" t="n"/>
    </row>
    <row r="17">
      <c r="A17" s="9" t="inlineStr">
        <is>
          <t>Channel</t>
        </is>
      </c>
      <c r="B17" s="13" t="inlineStr">
        <is>
          <t>% of Acquisition</t>
        </is>
      </c>
      <c r="C17" s="28" t="inlineStr">
        <is>
          <t>$ CAC</t>
        </is>
      </c>
      <c r="D17" s="14" t="inlineStr">
        <is>
          <t>Notes</t>
        </is>
      </c>
    </row>
    <row r="18">
      <c r="A18" s="9" t="inlineStr">
        <is>
          <t>Organic / word-of-mouth</t>
        </is>
      </c>
      <c r="B18" s="13" t="n">
        <v>0.5</v>
      </c>
      <c r="C18" s="28" t="n">
        <v>0</v>
      </c>
      <c r="D18" s="14" t="inlineStr">
        <is>
          <t>Crew network referrals — free</t>
        </is>
      </c>
    </row>
    <row r="19">
      <c r="A19" s="9" t="inlineStr">
        <is>
          <t>Referral bonus ($5 credit)</t>
        </is>
      </c>
      <c r="B19" s="13" t="n">
        <v>0.25</v>
      </c>
      <c r="C19" s="28" t="n">
        <v>5</v>
      </c>
      <c r="D19" s="14" t="inlineStr">
        <is>
          <t>Existing user refers</t>
        </is>
      </c>
    </row>
    <row r="20">
      <c r="A20" s="9" t="inlineStr">
        <is>
          <t>Paid social (IG/TikTok)</t>
        </is>
      </c>
      <c r="B20" s="13" t="n">
        <v>0.15</v>
      </c>
      <c r="C20" s="28" t="n">
        <v>12</v>
      </c>
      <c r="D20" s="14" t="inlineStr">
        <is>
          <t>Cold acquisition</t>
        </is>
      </c>
    </row>
    <row r="21">
      <c r="A21" t="inlineStr">
        <is>
          <t>Influencer / crew creator</t>
        </is>
      </c>
      <c r="B21" t="n">
        <v>0.1</v>
      </c>
      <c r="C21" t="n">
        <v>8</v>
      </c>
      <c r="D21" t="inlineStr">
        <is>
          <t>Paid sponsorship to @crew_illust et al</t>
        </is>
      </c>
    </row>
    <row r="22">
      <c r="A22" s="9" t="n"/>
      <c r="C22" s="11" t="n"/>
    </row>
    <row r="23">
      <c r="A23" t="inlineStr">
        <is>
          <t>BLENDED CAC</t>
        </is>
      </c>
      <c r="C23">
        <f>SUMPRODUCT(B18:B21,C18:C21)</f>
        <v/>
      </c>
    </row>
    <row r="25">
      <c r="A25" s="3" t="n"/>
    </row>
    <row r="26">
      <c r="A26" s="8" t="inlineStr">
        <is>
          <t>LTV / CAC PER TIER (Gross Profit × Lifetime ÷ CAC)</t>
        </is>
      </c>
      <c r="B26" s="8" t="n"/>
      <c r="C26" s="8" t="n"/>
      <c r="D26" s="8" t="n"/>
      <c r="E26" s="8" t="n"/>
      <c r="F26" s="8" t="n"/>
      <c r="G26" s="8" t="n"/>
      <c r="H26" s="8" t="n"/>
    </row>
    <row r="27">
      <c r="A27" s="9" t="inlineStr">
        <is>
          <t>Tier</t>
        </is>
      </c>
      <c r="B27" s="21" t="inlineStr">
        <is>
          <t>Gross Profit/mo</t>
        </is>
      </c>
      <c r="C27" s="20" t="inlineStr">
        <is>
          <t>Lifetime (mo)</t>
        </is>
      </c>
      <c r="D27" s="22" t="inlineStr">
        <is>
          <t>LTV</t>
        </is>
      </c>
      <c r="E27" s="21" t="inlineStr">
        <is>
          <t>CAC</t>
        </is>
      </c>
      <c r="F27" s="30" t="inlineStr">
        <is>
          <t>LTV:CAC</t>
        </is>
      </c>
      <c r="G27" s="20" t="inlineStr">
        <is>
          <t>Payback (mo)</t>
        </is>
      </c>
      <c r="H27" s="9" t="inlineStr">
        <is>
          <t>Verdict</t>
        </is>
      </c>
    </row>
    <row r="28">
      <c r="A28" s="9" t="inlineStr">
        <is>
          <t>Economy</t>
        </is>
      </c>
      <c r="B28" s="21">
        <f>'Per-Tier Unit Economics'!K7</f>
        <v/>
      </c>
      <c r="C28" s="20">
        <f>C6</f>
        <v/>
      </c>
      <c r="D28" s="22">
        <f>B28*C28</f>
        <v/>
      </c>
      <c r="E28" s="21">
        <f>$C$23</f>
        <v/>
      </c>
      <c r="F28" s="30">
        <f>IFERROR(D28/E28,0)</f>
        <v/>
      </c>
      <c r="G28" s="20">
        <f>IFERROR(E28/B28,0)</f>
        <v/>
      </c>
      <c r="H28" s="9">
        <f>IF(F28&gt;=5,"Excellent",IF(F28&gt;=3,"Investable",IF(F28&gt;=1,"Marginal","Unprofitable")))</f>
        <v/>
      </c>
    </row>
    <row r="29">
      <c r="A29" s="9" t="inlineStr">
        <is>
          <t>Roster Bundle</t>
        </is>
      </c>
      <c r="B29" s="21">
        <f>'Per-Tier Unit Economics'!K8</f>
        <v/>
      </c>
      <c r="C29" s="20">
        <f>C7</f>
        <v/>
      </c>
      <c r="D29" s="22">
        <f>B29*C29</f>
        <v/>
      </c>
      <c r="E29" s="21">
        <f>$C$23</f>
        <v/>
      </c>
      <c r="F29" s="30">
        <f>IFERROR(D29/E29,0)</f>
        <v/>
      </c>
      <c r="G29" s="20">
        <f>IFERROR(E29/B29,0)</f>
        <v/>
      </c>
      <c r="H29" s="9">
        <f>IF(F29&gt;=5,"Excellent",IF(F29&gt;=3,"Investable",IF(F29&gt;=1,"Marginal","Unprofitable")))</f>
        <v/>
      </c>
    </row>
    <row r="30">
      <c r="A30" s="9" t="inlineStr">
        <is>
          <t>Premium Economy</t>
        </is>
      </c>
      <c r="B30" s="21">
        <f>'Per-Tier Unit Economics'!K9</f>
        <v/>
      </c>
      <c r="C30" s="20">
        <f>C8</f>
        <v/>
      </c>
      <c r="D30" s="22">
        <f>B30*C30</f>
        <v/>
      </c>
      <c r="E30" s="21">
        <f>$C$23</f>
        <v/>
      </c>
      <c r="F30" s="30">
        <f>IFERROR(D30/E30,0)</f>
        <v/>
      </c>
      <c r="G30" s="20">
        <f>IFERROR(E30/B30,0)</f>
        <v/>
      </c>
      <c r="H30" s="9">
        <f>IF(F30&gt;=5,"Excellent",IF(F30&gt;=3,"Investable",IF(F30&gt;=1,"Marginal","Unprofitable")))</f>
        <v/>
      </c>
    </row>
    <row r="31">
      <c r="A31" s="9" t="inlineStr">
        <is>
          <t>Business</t>
        </is>
      </c>
      <c r="B31" s="21">
        <f>'Per-Tier Unit Economics'!K10</f>
        <v/>
      </c>
      <c r="C31" s="20">
        <f>C9</f>
        <v/>
      </c>
      <c r="D31" s="22">
        <f>B31*C31</f>
        <v/>
      </c>
      <c r="E31" s="21">
        <f>$C$23</f>
        <v/>
      </c>
      <c r="F31" s="30">
        <f>IFERROR(D31/E31,0)</f>
        <v/>
      </c>
      <c r="G31" s="20">
        <f>IFERROR(E31/B31,0)</f>
        <v/>
      </c>
      <c r="H31" s="9">
        <f>IF(F31&gt;=5,"Excellent",IF(F31&gt;=3,"Investable",IF(F31&gt;=1,"Marginal","Unprofitable")))</f>
        <v/>
      </c>
    </row>
    <row r="32">
      <c r="A32" s="9" t="inlineStr">
        <is>
          <t>First</t>
        </is>
      </c>
      <c r="B32" s="21">
        <f>'Per-Tier Unit Economics'!K11</f>
        <v/>
      </c>
      <c r="C32" s="20">
        <f>C10</f>
        <v/>
      </c>
      <c r="D32" s="22">
        <f>B32*C32</f>
        <v/>
      </c>
      <c r="E32" s="21">
        <f>$C$23</f>
        <v/>
      </c>
      <c r="F32" s="30">
        <f>IFERROR(D32/E32,0)</f>
        <v/>
      </c>
      <c r="G32" s="20">
        <f>IFERROR(E32/B32,0)</f>
        <v/>
      </c>
      <c r="H32" s="9">
        <f>IF(F32&gt;=5,"Excellent",IF(F32&gt;=3,"Investable",IF(F32&gt;=1,"Marginal","Unprofitable")))</f>
        <v/>
      </c>
    </row>
    <row r="33">
      <c r="A33" s="9" t="inlineStr">
        <is>
          <t>First Suite</t>
        </is>
      </c>
      <c r="B33" s="21">
        <f>'Per-Tier Unit Economics'!K12</f>
        <v/>
      </c>
      <c r="C33" s="20">
        <f>C11</f>
        <v/>
      </c>
      <c r="D33" s="22">
        <f>B33*C33</f>
        <v/>
      </c>
      <c r="E33" s="21">
        <f>$C$23</f>
        <v/>
      </c>
      <c r="F33" s="30">
        <f>IFERROR(D33/E33,0)</f>
        <v/>
      </c>
      <c r="G33" s="20">
        <f>IFERROR(E33/B33,0)</f>
        <v/>
      </c>
      <c r="H33" s="9">
        <f>IF(F33&gt;=5,"Excellent",IF(F33&gt;=3,"Investable",IF(F33&gt;=1,"Marginal","Unprofitable")))</f>
        <v/>
      </c>
    </row>
    <row r="34">
      <c r="A34" t="inlineStr">
        <is>
          <t>Cockpit</t>
        </is>
      </c>
      <c r="B34">
        <f>'Per-Tier Unit Economics'!K13</f>
        <v/>
      </c>
      <c r="C34">
        <f>C12</f>
        <v/>
      </c>
      <c r="D34">
        <f>B34*C34</f>
        <v/>
      </c>
      <c r="E34">
        <f>$C$23</f>
        <v/>
      </c>
      <c r="F34">
        <f>IFERROR(D34/E34,0)</f>
        <v/>
      </c>
      <c r="G34">
        <f>IFERROR(E34/B34,0)</f>
        <v/>
      </c>
      <c r="H34">
        <f>IF(F34&gt;=5,"Excellent",IF(F34&gt;=3,"Investable",IF(F34&gt;=1,"Marginal","Unprofitable")))</f>
        <v/>
      </c>
    </row>
    <row r="35">
      <c r="A35" t="inlineStr">
        <is>
          <t>Refuel</t>
        </is>
      </c>
      <c r="B35">
        <f>'README &amp; Assumptions'!B21-'README &amp; Assumptions'!C31</f>
        <v/>
      </c>
      <c r="C35">
        <f>C13</f>
        <v/>
      </c>
      <c r="D35">
        <f>B35*C35</f>
        <v/>
      </c>
      <c r="E35">
        <f>$C$23</f>
        <v/>
      </c>
      <c r="F35">
        <f>IFERROR(D35/E35,0)</f>
        <v/>
      </c>
      <c r="G35">
        <f>IFERROR(E35/B35,0)</f>
        <v/>
      </c>
      <c r="H35">
        <f>IF(F35&gt;=5,"Excellent",IF(F35&gt;=3,"Investable",IF(F35&gt;=1,"Marginal","Unprofitable")))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H22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8" customWidth="1" min="4" max="4"/>
    <col width="16" customWidth="1" min="5" max="5"/>
    <col width="14" customWidth="1" min="6" max="6"/>
    <col width="12" customWidth="1" min="7" max="7"/>
    <col width="14" customWidth="1" min="8" max="8"/>
  </cols>
  <sheetData>
    <row r="1">
      <c r="A1" s="1" t="inlineStr">
        <is>
          <t>Per-Tier Geo Mix — different tiers fly different routes</t>
        </is>
      </c>
    </row>
    <row r="2">
      <c r="A2" s="14" t="inlineStr">
        <is>
          <t>Roster Bundle users fly mostly crew layover countries (Tier-A). Economy users vacation in Tier-C (Bali/Maldives).</t>
        </is>
      </c>
    </row>
    <row r="4">
      <c r="A4" s="8" t="inlineStr">
        <is>
          <t>Tier</t>
        </is>
      </c>
      <c r="B4" s="8" t="inlineStr">
        <is>
          <t>% Tier-A (cheap)</t>
        </is>
      </c>
      <c r="C4" s="8" t="inlineStr">
        <is>
          <t>% Tier-B (medium)</t>
        </is>
      </c>
      <c r="D4" s="8" t="inlineStr">
        <is>
          <t>% Tier-C (expensive)</t>
        </is>
      </c>
      <c r="E4" s="8" t="inlineStr">
        <is>
          <t>Effective Cost/GB</t>
        </is>
      </c>
      <c r="F4" s="8" t="inlineStr">
        <is>
          <t>Margin vs Default</t>
        </is>
      </c>
    </row>
    <row r="5">
      <c r="A5" s="9" t="inlineStr">
        <is>
          <t>Economy</t>
        </is>
      </c>
      <c r="B5" s="13" t="n">
        <v>0.3</v>
      </c>
      <c r="C5" s="13" t="n">
        <v>0.3</v>
      </c>
      <c r="D5" s="13" t="n">
        <v>0.4</v>
      </c>
      <c r="E5" s="11">
        <f>B5*'README &amp; Assumptions'!C27+C5*'README &amp; Assumptions'!C28+D5*'README &amp; Assumptions'!C29</f>
        <v/>
      </c>
      <c r="F5" s="11">
        <f>'README &amp; Assumptions'!C31-E5</f>
        <v/>
      </c>
    </row>
    <row r="6">
      <c r="A6" s="9" t="inlineStr">
        <is>
          <t>Roster Bundle</t>
        </is>
      </c>
      <c r="B6" s="13" t="n">
        <v>0.7</v>
      </c>
      <c r="C6" s="13" t="n">
        <v>0.25</v>
      </c>
      <c r="D6" s="13" t="n">
        <v>0.05</v>
      </c>
      <c r="E6" s="11">
        <f>B6*'README &amp; Assumptions'!C27+C6*'README &amp; Assumptions'!C28+D6*'README &amp; Assumptions'!C29</f>
        <v/>
      </c>
      <c r="F6" s="11">
        <f>'README &amp; Assumptions'!C31-E6</f>
        <v/>
      </c>
    </row>
    <row r="7">
      <c r="A7" s="9" t="inlineStr">
        <is>
          <t>Premium Economy</t>
        </is>
      </c>
      <c r="B7" s="13" t="n">
        <v>0.55</v>
      </c>
      <c r="C7" s="13" t="n">
        <v>0.3</v>
      </c>
      <c r="D7" s="13" t="n">
        <v>0.15</v>
      </c>
      <c r="E7" s="11">
        <f>B7*'README &amp; Assumptions'!C27+C7*'README &amp; Assumptions'!C28+D7*'README &amp; Assumptions'!C29</f>
        <v/>
      </c>
      <c r="F7" s="11">
        <f>'README &amp; Assumptions'!C31-E7</f>
        <v/>
      </c>
    </row>
    <row r="8">
      <c r="A8" s="9" t="inlineStr">
        <is>
          <t>Business</t>
        </is>
      </c>
      <c r="B8" s="13" t="n">
        <v>0.6</v>
      </c>
      <c r="C8" s="13" t="n">
        <v>0.25</v>
      </c>
      <c r="D8" s="13" t="n">
        <v>0.15</v>
      </c>
      <c r="E8" s="11">
        <f>B8*'README &amp; Assumptions'!C27+C8*'README &amp; Assumptions'!C28+D8*'README &amp; Assumptions'!C29</f>
        <v/>
      </c>
      <c r="F8" s="11">
        <f>'README &amp; Assumptions'!C31-E8</f>
        <v/>
      </c>
    </row>
    <row r="9">
      <c r="A9" s="9" t="inlineStr">
        <is>
          <t>First</t>
        </is>
      </c>
      <c r="B9" s="13" t="n">
        <v>0.5</v>
      </c>
      <c r="C9" s="13" t="n">
        <v>0.3</v>
      </c>
      <c r="D9" s="13" t="n">
        <v>0.2</v>
      </c>
      <c r="E9" s="11">
        <f>B9*'README &amp; Assumptions'!C27+C9*'README &amp; Assumptions'!C28+D9*'README &amp; Assumptions'!C29</f>
        <v/>
      </c>
      <c r="F9" s="11">
        <f>'README &amp; Assumptions'!C31-E9</f>
        <v/>
      </c>
    </row>
    <row r="10">
      <c r="A10" s="9" t="inlineStr">
        <is>
          <t>First Suite</t>
        </is>
      </c>
      <c r="B10" s="13" t="n">
        <v>0.5</v>
      </c>
      <c r="C10" s="13" t="n">
        <v>0.3</v>
      </c>
      <c r="D10" s="13" t="n">
        <v>0.2</v>
      </c>
      <c r="E10" s="11">
        <f>B10*'README &amp; Assumptions'!C27+C10*'README &amp; Assumptions'!C28+D10*'README &amp; Assumptions'!C29</f>
        <v/>
      </c>
      <c r="F10" s="11">
        <f>'README &amp; Assumptions'!C31-E10</f>
        <v/>
      </c>
    </row>
    <row r="11">
      <c r="A11" s="9" t="inlineStr">
        <is>
          <t>Cockpit</t>
        </is>
      </c>
      <c r="B11" s="13" t="n">
        <v>0.65</v>
      </c>
      <c r="C11" s="13" t="n">
        <v>0.25</v>
      </c>
      <c r="D11" s="13" t="n">
        <v>0.1</v>
      </c>
      <c r="E11" s="11">
        <f>B11*'README &amp; Assumptions'!C27+C11*'README &amp; Assumptions'!C28+D11*'README &amp; Assumptions'!C29</f>
        <v/>
      </c>
      <c r="F11" s="11">
        <f>'README &amp; Assumptions'!C31-E11</f>
        <v/>
      </c>
    </row>
    <row r="12">
      <c r="A12" t="inlineStr">
        <is>
          <t>Refuel</t>
        </is>
      </c>
      <c r="B12" t="n">
        <v>0.6</v>
      </c>
      <c r="C12" t="n">
        <v>0.25</v>
      </c>
      <c r="D12" t="n">
        <v>0.15</v>
      </c>
      <c r="E12">
        <f>B12*'README &amp; Assumptions'!C27+C12*'README &amp; Assumptions'!C28+D12*'README &amp; Assumptions'!C29</f>
        <v/>
      </c>
      <c r="F12">
        <f>'README &amp; Assumptions'!C31-E12</f>
        <v/>
      </c>
    </row>
    <row r="13">
      <c r="A13" s="3" t="inlineStr">
        <is>
          <t>REVISED PER-TIER GROSS MARGIN (with tier-specific geo mix)</t>
        </is>
      </c>
    </row>
    <row r="14">
      <c r="A14" s="8" t="inlineStr">
        <is>
          <t>Tier</t>
        </is>
      </c>
      <c r="B14" s="8" t="inlineStr">
        <is>
          <t>Monthly Revenue</t>
        </is>
      </c>
      <c r="C14" s="8" t="inlineStr">
        <is>
          <t>GB Consumed</t>
        </is>
      </c>
      <c r="D14" s="8" t="inlineStr">
        <is>
          <t>Effective $/GB</t>
        </is>
      </c>
      <c r="E14" s="8" t="inlineStr">
        <is>
          <t>Adjusted COGS</t>
        </is>
      </c>
      <c r="F14" s="8" t="inlineStr">
        <is>
          <t>Gross Profit</t>
        </is>
      </c>
      <c r="G14" s="8" t="inlineStr">
        <is>
          <t>Margin %</t>
        </is>
      </c>
      <c r="H14" s="8" t="inlineStr">
        <is>
          <t>vs Default</t>
        </is>
      </c>
    </row>
    <row r="15">
      <c r="A15" s="9" t="inlineStr">
        <is>
          <t>Economy</t>
        </is>
      </c>
      <c r="B15" s="21">
        <f>'Per-Tier Unit Economics'!B7</f>
        <v/>
      </c>
      <c r="C15" s="18">
        <f>'Per-Tier Unit Economics'!C7</f>
        <v/>
      </c>
      <c r="D15" s="21">
        <f>E5</f>
        <v/>
      </c>
      <c r="E15" s="11">
        <f>C15*D15</f>
        <v/>
      </c>
      <c r="F15" s="22">
        <f>B15-E15</f>
        <v/>
      </c>
      <c r="G15" s="17">
        <f>IFERROR(F15/B15,0)</f>
        <v/>
      </c>
      <c r="H15" s="31">
        <f>F15-'Per-Tier Unit Economics'!K7</f>
        <v/>
      </c>
    </row>
    <row r="16">
      <c r="A16" s="9" t="inlineStr">
        <is>
          <t>Roster Bundle</t>
        </is>
      </c>
      <c r="B16" s="21">
        <f>'Per-Tier Unit Economics'!B8</f>
        <v/>
      </c>
      <c r="C16" s="18">
        <f>'Per-Tier Unit Economics'!C8</f>
        <v/>
      </c>
      <c r="D16" s="21">
        <f>E6</f>
        <v/>
      </c>
      <c r="E16" s="11">
        <f>C16*D16</f>
        <v/>
      </c>
      <c r="F16" s="22">
        <f>B16-E16</f>
        <v/>
      </c>
      <c r="G16" s="17">
        <f>IFERROR(F16/B16,0)</f>
        <v/>
      </c>
      <c r="H16" s="31">
        <f>F16-'Per-Tier Unit Economics'!K8</f>
        <v/>
      </c>
    </row>
    <row r="17">
      <c r="A17" s="9" t="inlineStr">
        <is>
          <t>Premium Economy</t>
        </is>
      </c>
      <c r="B17" s="21">
        <f>'Per-Tier Unit Economics'!B9</f>
        <v/>
      </c>
      <c r="C17" s="18">
        <f>'Per-Tier Unit Economics'!C9</f>
        <v/>
      </c>
      <c r="D17" s="21">
        <f>E7</f>
        <v/>
      </c>
      <c r="E17" s="11">
        <f>C17*D17</f>
        <v/>
      </c>
      <c r="F17" s="22">
        <f>B17-E17</f>
        <v/>
      </c>
      <c r="G17" s="17">
        <f>IFERROR(F17/B17,0)</f>
        <v/>
      </c>
      <c r="H17" s="31">
        <f>F17-'Per-Tier Unit Economics'!K9</f>
        <v/>
      </c>
    </row>
    <row r="18">
      <c r="A18" s="9" t="inlineStr">
        <is>
          <t>Business</t>
        </is>
      </c>
      <c r="B18" s="21">
        <f>'Per-Tier Unit Economics'!B10</f>
        <v/>
      </c>
      <c r="C18" s="18">
        <f>'Per-Tier Unit Economics'!C10</f>
        <v/>
      </c>
      <c r="D18" s="21">
        <f>E8</f>
        <v/>
      </c>
      <c r="E18" s="11">
        <f>C18*D18</f>
        <v/>
      </c>
      <c r="F18" s="22">
        <f>B18-E18</f>
        <v/>
      </c>
      <c r="G18" s="17">
        <f>IFERROR(F18/B18,0)</f>
        <v/>
      </c>
      <c r="H18" s="31">
        <f>F18-'Per-Tier Unit Economics'!K10</f>
        <v/>
      </c>
    </row>
    <row r="19">
      <c r="A19" s="9" t="inlineStr">
        <is>
          <t>First</t>
        </is>
      </c>
      <c r="B19" s="21">
        <f>'Per-Tier Unit Economics'!B11</f>
        <v/>
      </c>
      <c r="C19" s="18">
        <f>'Per-Tier Unit Economics'!C11</f>
        <v/>
      </c>
      <c r="D19" s="21">
        <f>E9</f>
        <v/>
      </c>
      <c r="E19" s="11">
        <f>C19*D19</f>
        <v/>
      </c>
      <c r="F19" s="22">
        <f>B19-E19</f>
        <v/>
      </c>
      <c r="G19" s="17">
        <f>IFERROR(F19/B19,0)</f>
        <v/>
      </c>
      <c r="H19" s="31">
        <f>F19-'Per-Tier Unit Economics'!K11</f>
        <v/>
      </c>
    </row>
    <row r="20">
      <c r="A20" s="9" t="inlineStr">
        <is>
          <t>First Suite</t>
        </is>
      </c>
      <c r="B20" s="21">
        <f>'Per-Tier Unit Economics'!B12</f>
        <v/>
      </c>
      <c r="C20" s="18">
        <f>'Per-Tier Unit Economics'!C12</f>
        <v/>
      </c>
      <c r="D20" s="21">
        <f>E10</f>
        <v/>
      </c>
      <c r="E20" s="11">
        <f>C20*D20</f>
        <v/>
      </c>
      <c r="F20" s="22">
        <f>B20-E20</f>
        <v/>
      </c>
      <c r="G20" s="17">
        <f>IFERROR(F20/B20,0)</f>
        <v/>
      </c>
      <c r="H20" s="31">
        <f>F20-'Per-Tier Unit Economics'!K12</f>
        <v/>
      </c>
    </row>
    <row r="21">
      <c r="A21" s="9" t="inlineStr">
        <is>
          <t>Cockpit</t>
        </is>
      </c>
      <c r="B21" s="21">
        <f>'Per-Tier Unit Economics'!B13</f>
        <v/>
      </c>
      <c r="C21" s="18">
        <f>'Per-Tier Unit Economics'!C13</f>
        <v/>
      </c>
      <c r="D21" s="21">
        <f>E11</f>
        <v/>
      </c>
      <c r="E21" s="11">
        <f>C21*D21</f>
        <v/>
      </c>
      <c r="F21" s="22">
        <f>B21-E21</f>
        <v/>
      </c>
      <c r="G21" s="17">
        <f>IFERROR(F21/B21,0)</f>
        <v/>
      </c>
      <c r="H21" s="31">
        <f>F21-'Per-Tier Unit Economics'!K13</f>
        <v/>
      </c>
    </row>
    <row r="22">
      <c r="A22" t="inlineStr">
        <is>
          <t>Refuel</t>
        </is>
      </c>
      <c r="B22">
        <f>'README &amp; Assumptions'!B21</f>
        <v/>
      </c>
      <c r="C22" t="n">
        <v>1</v>
      </c>
      <c r="D22">
        <f>E12</f>
        <v/>
      </c>
      <c r="E22">
        <f>C22*D22</f>
        <v/>
      </c>
      <c r="F22">
        <f>B22-E22</f>
        <v/>
      </c>
      <c r="G22">
        <f>IFERROR(F22/B22,0)</f>
        <v/>
      </c>
      <c r="H22">
        <f>F22-('README &amp; Assumptions'!B21-'README &amp; Assumptions'!C31)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G30"/>
  <sheetViews>
    <sheetView workbookViewId="0">
      <selection activeCell="A1" sqref="A1"/>
    </sheetView>
  </sheetViews>
  <sheetFormatPr baseColWidth="8" defaultRowHeight="15"/>
  <cols>
    <col width="18" customWidth="1" min="1" max="1"/>
    <col width="16" customWidth="1" min="2" max="2"/>
    <col width="14" customWidth="1" min="3" max="3"/>
    <col width="14" customWidth="1" min="4" max="4"/>
    <col width="22" customWidth="1" min="5" max="5"/>
    <col width="16" customWidth="1" min="6" max="6"/>
    <col width="22" customWidth="1" min="7" max="7"/>
  </cols>
  <sheetData>
    <row r="1">
      <c r="A1" s="1" t="inlineStr">
        <is>
          <t>Carryover Liability — GB you owe users</t>
        </is>
      </c>
    </row>
    <row r="2">
      <c r="A2" s="14" t="inlineStr">
        <is>
          <t>Premium/Business/First/Cockpit carry unused GB. At any month you have $ liability if everyone redeems together.</t>
        </is>
      </c>
    </row>
    <row r="4">
      <c r="A4" s="3" t="inlineStr">
        <is>
          <t>PER-TIER CARRYOVER (per user per month)</t>
        </is>
      </c>
    </row>
    <row r="5">
      <c r="A5" s="8" t="inlineStr">
        <is>
          <t>Tier</t>
        </is>
      </c>
      <c r="B5" s="8" t="inlineStr">
        <is>
          <t>GB Pool</t>
        </is>
      </c>
      <c r="C5" s="8" t="inlineStr">
        <is>
          <t>% Consumed</t>
        </is>
      </c>
      <c r="D5" s="8" t="inlineStr">
        <is>
          <t>GB Unused</t>
        </is>
      </c>
      <c r="E5" s="8" t="inlineStr">
        <is>
          <t>Carry %</t>
        </is>
      </c>
      <c r="F5" s="8" t="inlineStr">
        <is>
          <t>GB Carried/mo</t>
        </is>
      </c>
      <c r="G5" s="8" t="inlineStr">
        <is>
          <t>$ Liability per user</t>
        </is>
      </c>
    </row>
    <row r="6">
      <c r="A6" s="9" t="inlineStr">
        <is>
          <t>Economy</t>
        </is>
      </c>
      <c r="B6" s="18">
        <f>'README &amp; Assumptions'!D14</f>
        <v/>
      </c>
      <c r="C6" s="19">
        <f>'User Behavior'!C21</f>
        <v/>
      </c>
      <c r="D6" s="20">
        <f>B6*(1-C6)</f>
        <v/>
      </c>
      <c r="E6" s="32">
        <f>'README &amp; Assumptions'!E14</f>
        <v/>
      </c>
      <c r="F6" s="20">
        <f>D6*E6</f>
        <v/>
      </c>
      <c r="G6" s="22">
        <f>F6*'README &amp; Assumptions'!C31</f>
        <v/>
      </c>
    </row>
    <row r="7">
      <c r="A7" s="9" t="inlineStr">
        <is>
          <t>Roster Bundle</t>
        </is>
      </c>
      <c r="B7" s="18">
        <f>'README &amp; Assumptions'!D15</f>
        <v/>
      </c>
      <c r="C7" s="19">
        <f>'User Behavior'!C22</f>
        <v/>
      </c>
      <c r="D7" s="20">
        <f>B7*(1-C7)</f>
        <v/>
      </c>
      <c r="E7" s="32">
        <f>'README &amp; Assumptions'!E15</f>
        <v/>
      </c>
      <c r="F7" s="20">
        <f>D7*E7</f>
        <v/>
      </c>
      <c r="G7" s="22">
        <f>F7*'README &amp; Assumptions'!C31</f>
        <v/>
      </c>
    </row>
    <row r="8">
      <c r="A8" s="9" t="inlineStr">
        <is>
          <t>Premium Economy</t>
        </is>
      </c>
      <c r="B8" s="18">
        <f>'README &amp; Assumptions'!D16</f>
        <v/>
      </c>
      <c r="C8" s="19">
        <f>'User Behavior'!C23</f>
        <v/>
      </c>
      <c r="D8" s="20">
        <f>B8*(1-C8)</f>
        <v/>
      </c>
      <c r="E8" s="32">
        <f>'README &amp; Assumptions'!E16</f>
        <v/>
      </c>
      <c r="F8" s="20">
        <f>D8*E8</f>
        <v/>
      </c>
      <c r="G8" s="22">
        <f>F8*'README &amp; Assumptions'!C31</f>
        <v/>
      </c>
    </row>
    <row r="9">
      <c r="A9" s="9" t="inlineStr">
        <is>
          <t>Business</t>
        </is>
      </c>
      <c r="B9" s="18">
        <f>'README &amp; Assumptions'!D17</f>
        <v/>
      </c>
      <c r="C9" s="19">
        <f>'User Behavior'!C24</f>
        <v/>
      </c>
      <c r="D9" s="20">
        <f>B9*(1-C9)</f>
        <v/>
      </c>
      <c r="E9" s="32">
        <f>'README &amp; Assumptions'!E17</f>
        <v/>
      </c>
      <c r="F9" s="20">
        <f>D9*E9</f>
        <v/>
      </c>
      <c r="G9" s="22">
        <f>F9*'README &amp; Assumptions'!C31</f>
        <v/>
      </c>
    </row>
    <row r="10">
      <c r="A10" s="9" t="inlineStr">
        <is>
          <t>First</t>
        </is>
      </c>
      <c r="B10" s="18">
        <f>'README &amp; Assumptions'!D18</f>
        <v/>
      </c>
      <c r="C10" s="19">
        <f>'User Behavior'!C25</f>
        <v/>
      </c>
      <c r="D10" s="20">
        <f>B10*(1-C10)</f>
        <v/>
      </c>
      <c r="E10" s="32">
        <f>'README &amp; Assumptions'!E18</f>
        <v/>
      </c>
      <c r="F10" s="20">
        <f>D10*E10</f>
        <v/>
      </c>
      <c r="G10" s="22">
        <f>F10*'README &amp; Assumptions'!C31</f>
        <v/>
      </c>
    </row>
    <row r="11">
      <c r="A11" s="9" t="inlineStr">
        <is>
          <t>First Suite</t>
        </is>
      </c>
      <c r="B11" s="18">
        <f>'README &amp; Assumptions'!D19</f>
        <v/>
      </c>
      <c r="C11" s="19">
        <f>'User Behavior'!C26</f>
        <v/>
      </c>
      <c r="D11" s="20">
        <f>B11*(1-C11)</f>
        <v/>
      </c>
      <c r="E11" s="32">
        <f>'README &amp; Assumptions'!E19</f>
        <v/>
      </c>
      <c r="F11" s="20">
        <f>D11*E11</f>
        <v/>
      </c>
      <c r="G11" s="22">
        <f>F11*'README &amp; Assumptions'!C31</f>
        <v/>
      </c>
    </row>
    <row r="12">
      <c r="A12" s="9" t="inlineStr">
        <is>
          <t>Cockpit</t>
        </is>
      </c>
      <c r="B12" s="18">
        <f>'README &amp; Assumptions'!D20</f>
        <v/>
      </c>
      <c r="C12" s="19">
        <f>'User Behavior'!C27</f>
        <v/>
      </c>
      <c r="D12" s="20">
        <f>B12*(1-C12)</f>
        <v/>
      </c>
      <c r="E12" s="32">
        <f>'README &amp; Assumptions'!E20</f>
        <v/>
      </c>
      <c r="F12" s="20">
        <f>D12*E12</f>
        <v/>
      </c>
      <c r="G12" s="22">
        <f>F12*'README &amp; Assumptions'!C31</f>
        <v/>
      </c>
    </row>
    <row r="13">
      <c r="A13" t="inlineStr">
        <is>
          <t>Refuel</t>
        </is>
      </c>
      <c r="B13">
        <f>'README &amp; Assumptions'!D21</f>
        <v/>
      </c>
      <c r="C13">
        <f>'User Behavior'!C28</f>
        <v/>
      </c>
      <c r="D13">
        <f>B13*(1-C13)</f>
        <v/>
      </c>
      <c r="E13">
        <f>'README &amp; Assumptions'!E21</f>
        <v/>
      </c>
      <c r="F13">
        <f>D13*E13</f>
        <v/>
      </c>
      <c r="G13">
        <f>F13*'README &amp; Assumptions'!C31</f>
        <v/>
      </c>
    </row>
    <row r="15">
      <c r="A15" s="3" t="inlineStr">
        <is>
          <t>CUMULATIVE LIABILITY OVER 12 MONTHS (at base 1,000 users, depending on mix)</t>
        </is>
      </c>
    </row>
    <row r="16">
      <c r="A16" s="14" t="inlineStr">
        <is>
          <t>Assumes 20%/mo redemption rate. Net accrual = carried − redeemed.</t>
        </is>
      </c>
    </row>
    <row r="17">
      <c r="A17" s="8" t="inlineStr">
        <is>
          <t>Month</t>
        </is>
      </c>
      <c r="B17" s="8" t="inlineStr">
        <is>
          <t>New Carryover</t>
        </is>
      </c>
      <c r="C17" s="8" t="inlineStr">
        <is>
          <t>Redeemed</t>
        </is>
      </c>
      <c r="D17" s="8" t="inlineStr">
        <is>
          <t>Net Balance</t>
        </is>
      </c>
      <c r="E17" s="8" t="inlineStr">
        <is>
          <t>$ Value @ blended cost</t>
        </is>
      </c>
    </row>
    <row r="18">
      <c r="A18" s="9" t="inlineStr">
        <is>
          <t>Redemption rate</t>
        </is>
      </c>
      <c r="B18" s="13" t="n">
        <v>0.2</v>
      </c>
    </row>
    <row r="19">
      <c r="A19" s="9" t="inlineStr">
        <is>
          <t>M1</t>
        </is>
      </c>
      <c r="B19" s="20">
        <f>1000*SUMPRODUCT(F6:F12,'README &amp; Assumptions'!B36:B42)</f>
        <v/>
      </c>
      <c r="C19" s="20" t="n">
        <v>0</v>
      </c>
      <c r="D19" s="33">
        <f>B19-C19</f>
        <v/>
      </c>
      <c r="E19" s="25">
        <f>D19*'README &amp; Assumptions'!C31</f>
        <v/>
      </c>
    </row>
    <row r="20">
      <c r="A20" s="9" t="inlineStr">
        <is>
          <t>M2</t>
        </is>
      </c>
      <c r="B20" s="20">
        <f>1000*SUMPRODUCT(F6:F12,'README &amp; Assumptions'!B36:B42)</f>
        <v/>
      </c>
      <c r="C20" s="20">
        <f>D19*$B$18</f>
        <v/>
      </c>
      <c r="D20" s="33">
        <f>D19+B20-C20</f>
        <v/>
      </c>
      <c r="E20" s="25">
        <f>D20*'README &amp; Assumptions'!C31</f>
        <v/>
      </c>
    </row>
    <row r="21">
      <c r="A21" s="9" t="inlineStr">
        <is>
          <t>M3</t>
        </is>
      </c>
      <c r="B21" s="20">
        <f>1000*SUMPRODUCT(F6:F12,'README &amp; Assumptions'!B36:B42)</f>
        <v/>
      </c>
      <c r="C21" s="20">
        <f>D20*$B$18</f>
        <v/>
      </c>
      <c r="D21" s="33">
        <f>D20+B21-C21</f>
        <v/>
      </c>
      <c r="E21" s="25">
        <f>D21*'README &amp; Assumptions'!C31</f>
        <v/>
      </c>
    </row>
    <row r="22">
      <c r="A22" s="9" t="inlineStr">
        <is>
          <t>M4</t>
        </is>
      </c>
      <c r="B22" s="20">
        <f>1000*SUMPRODUCT(F6:F12,'README &amp; Assumptions'!B36:B42)</f>
        <v/>
      </c>
      <c r="C22" s="20">
        <f>D21*$B$18</f>
        <v/>
      </c>
      <c r="D22" s="33">
        <f>D21+B22-C22</f>
        <v/>
      </c>
      <c r="E22" s="25">
        <f>D22*'README &amp; Assumptions'!C31</f>
        <v/>
      </c>
    </row>
    <row r="23">
      <c r="A23" s="9" t="inlineStr">
        <is>
          <t>M5</t>
        </is>
      </c>
      <c r="B23" s="20">
        <f>1000*SUMPRODUCT(F6:F12,'README &amp; Assumptions'!B36:B42)</f>
        <v/>
      </c>
      <c r="C23" s="20">
        <f>D22*$B$18</f>
        <v/>
      </c>
      <c r="D23" s="33">
        <f>D22+B23-C23</f>
        <v/>
      </c>
      <c r="E23" s="25">
        <f>D23*'README &amp; Assumptions'!C31</f>
        <v/>
      </c>
    </row>
    <row r="24">
      <c r="A24" s="9" t="inlineStr">
        <is>
          <t>M6</t>
        </is>
      </c>
      <c r="B24" s="20">
        <f>1000*SUMPRODUCT(F6:F12,'README &amp; Assumptions'!B36:B42)</f>
        <v/>
      </c>
      <c r="C24" s="20">
        <f>D23*$B$18</f>
        <v/>
      </c>
      <c r="D24" s="33">
        <f>D23+B24-C24</f>
        <v/>
      </c>
      <c r="E24" s="25">
        <f>D24*'README &amp; Assumptions'!C31</f>
        <v/>
      </c>
    </row>
    <row r="25">
      <c r="A25" s="9" t="inlineStr">
        <is>
          <t>M7</t>
        </is>
      </c>
      <c r="B25" s="20">
        <f>1000*SUMPRODUCT(F6:F12,'README &amp; Assumptions'!B36:B42)</f>
        <v/>
      </c>
      <c r="C25" s="20">
        <f>D24*$B$18</f>
        <v/>
      </c>
      <c r="D25" s="33">
        <f>D24+B25-C25</f>
        <v/>
      </c>
      <c r="E25" s="25">
        <f>D25*'README &amp; Assumptions'!C31</f>
        <v/>
      </c>
    </row>
    <row r="26">
      <c r="A26" s="9" t="inlineStr">
        <is>
          <t>M8</t>
        </is>
      </c>
      <c r="B26" s="20">
        <f>1000*SUMPRODUCT(F6:F12,'README &amp; Assumptions'!B36:B42)</f>
        <v/>
      </c>
      <c r="C26" s="20">
        <f>D25*$B$18</f>
        <v/>
      </c>
      <c r="D26" s="33">
        <f>D25+B26-C26</f>
        <v/>
      </c>
      <c r="E26" s="25">
        <f>D26*'README &amp; Assumptions'!C31</f>
        <v/>
      </c>
    </row>
    <row r="27">
      <c r="A27" s="9" t="inlineStr">
        <is>
          <t>M9</t>
        </is>
      </c>
      <c r="B27" s="20">
        <f>1000*SUMPRODUCT(F6:F12,'README &amp; Assumptions'!B36:B42)</f>
        <v/>
      </c>
      <c r="C27" s="20">
        <f>D26*$B$18</f>
        <v/>
      </c>
      <c r="D27" s="33">
        <f>D26+B27-C27</f>
        <v/>
      </c>
      <c r="E27" s="25">
        <f>D27*'README &amp; Assumptions'!C31</f>
        <v/>
      </c>
    </row>
    <row r="28">
      <c r="A28" s="9" t="inlineStr">
        <is>
          <t>M10</t>
        </is>
      </c>
      <c r="B28" s="20">
        <f>1000*SUMPRODUCT(F6:F12,'README &amp; Assumptions'!B36:B42)</f>
        <v/>
      </c>
      <c r="C28" s="20">
        <f>D27*$B$18</f>
        <v/>
      </c>
      <c r="D28" s="33">
        <f>D27+B28-C28</f>
        <v/>
      </c>
      <c r="E28" s="25">
        <f>D28*'README &amp; Assumptions'!C31</f>
        <v/>
      </c>
    </row>
    <row r="29">
      <c r="A29" s="9" t="inlineStr">
        <is>
          <t>M11</t>
        </is>
      </c>
      <c r="B29" s="20">
        <f>1000*SUMPRODUCT(F6:F12,'README &amp; Assumptions'!B36:B42)</f>
        <v/>
      </c>
      <c r="C29" s="20">
        <f>D28*$B$18</f>
        <v/>
      </c>
      <c r="D29" s="33">
        <f>D28+B29-C29</f>
        <v/>
      </c>
      <c r="E29" s="25">
        <f>D29*'README &amp; Assumptions'!C31</f>
        <v/>
      </c>
    </row>
    <row r="30">
      <c r="A30" s="9" t="inlineStr">
        <is>
          <t>M12</t>
        </is>
      </c>
      <c r="B30" s="20">
        <f>1000*SUMPRODUCT(F6:F12,'README &amp; Assumptions'!B36:B42)</f>
        <v/>
      </c>
      <c r="C30" s="20">
        <f>D29*$B$18</f>
        <v/>
      </c>
      <c r="D30" s="33">
        <f>D29+B30-C30</f>
        <v/>
      </c>
      <c r="E30" s="25">
        <f>D30*'README &amp; Assumptions'!C31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G31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0" customWidth="1" min="3" max="3"/>
    <col width="22" customWidth="1" min="4" max="4"/>
    <col width="26" customWidth="1" min="5" max="5"/>
    <col width="26" customWidth="1" min="6" max="6"/>
  </cols>
  <sheetData>
    <row r="1">
      <c r="A1" s="1" t="inlineStr">
        <is>
          <t>Strategic Scenarios — wholesale triggers + multi-airline + competitive floor</t>
        </is>
      </c>
    </row>
    <row r="2">
      <c r="A2" s="14" t="inlineStr">
        <is>
          <t>Year 2-3 planning: when does scale unlock direct wholesale, what does multi-airline look like, where is our pricing floor.</t>
        </is>
      </c>
    </row>
    <row r="4">
      <c r="A4" s="3" t="inlineStr">
        <is>
          <t>WHOLESALE TIER TRIGGERS — what volume unlocks better rates</t>
        </is>
      </c>
    </row>
    <row r="5">
      <c r="A5" s="8" t="inlineStr">
        <is>
          <t>Volume (activations/mo)</t>
        </is>
      </c>
      <c r="B5" s="8" t="inlineStr">
        <is>
          <t>Samurai Markup (assumed)</t>
        </is>
      </c>
      <c r="C5" s="8" t="inlineStr">
        <is>
          <t>Effective Cost vs Default</t>
        </is>
      </c>
      <c r="D5" s="8" t="inlineStr">
        <is>
          <t>Direct eSIM Access</t>
        </is>
      </c>
      <c r="E5" s="8" t="inlineStr">
        <is>
          <t>Better Path</t>
        </is>
      </c>
    </row>
    <row r="6">
      <c r="A6" s="23" t="n">
        <v>1000</v>
      </c>
      <c r="B6" s="13" t="n">
        <v>0.7</v>
      </c>
      <c r="C6" s="17">
        <f>(1+B6)/(1+0.70)</f>
        <v/>
      </c>
      <c r="D6" s="5" t="inlineStr">
        <is>
          <t>$0.55 (60% lower)</t>
        </is>
      </c>
      <c r="E6" s="14" t="inlineStr">
        <is>
          <t>Stay with Samurai (no leverage yet)</t>
        </is>
      </c>
    </row>
    <row r="7">
      <c r="A7" s="23" t="n">
        <v>5000</v>
      </c>
      <c r="B7" s="13" t="n">
        <v>0.55</v>
      </c>
      <c r="C7" s="17">
        <f>(1+B7)/(1+0.70)</f>
        <v/>
      </c>
      <c r="D7" s="5" t="inlineStr">
        <is>
          <t>$0.55 (60% lower)</t>
        </is>
      </c>
      <c r="E7" s="14" t="inlineStr">
        <is>
          <t>Negotiate to 55%</t>
        </is>
      </c>
    </row>
    <row r="8">
      <c r="A8" s="23" t="n">
        <v>10000</v>
      </c>
      <c r="B8" s="13" t="n">
        <v>0.4</v>
      </c>
      <c r="C8" s="17">
        <f>(1+B8)/(1+0.70)</f>
        <v/>
      </c>
      <c r="D8" s="5" t="inlineStr">
        <is>
          <t>$0.55 (60% lower)</t>
        </is>
      </c>
      <c r="E8" s="14" t="inlineStr">
        <is>
          <t>Hit publicly-claimed 40%</t>
        </is>
      </c>
    </row>
    <row r="9">
      <c r="A9" s="23" t="n">
        <v>25000</v>
      </c>
      <c r="B9" s="13" t="n">
        <v>0.3</v>
      </c>
      <c r="C9" s="17">
        <f>(1+B9)/(1+0.70)</f>
        <v/>
      </c>
      <c r="D9" s="5" t="inlineStr">
        <is>
          <t>$0.55 (60% lower)</t>
        </is>
      </c>
      <c r="E9" s="14" t="inlineStr">
        <is>
          <t>Direct eSIM Access becomes equally attractive</t>
        </is>
      </c>
    </row>
    <row r="10">
      <c r="A10" s="23" t="n">
        <v>50000</v>
      </c>
      <c r="B10" s="13" t="n">
        <v>0.2</v>
      </c>
      <c r="C10" s="17">
        <f>(1+B10)/(1+0.70)</f>
        <v/>
      </c>
      <c r="D10" s="5" t="inlineStr">
        <is>
          <t>$0.55 (60% lower)</t>
        </is>
      </c>
      <c r="E10" s="14" t="inlineStr">
        <is>
          <t>Direct eSIM Access strictly cheaper</t>
        </is>
      </c>
    </row>
    <row r="11">
      <c r="A11" s="23" t="n">
        <v>100000</v>
      </c>
      <c r="B11" s="13" t="n">
        <v>0.15</v>
      </c>
      <c r="C11" s="17">
        <f>(1+B11)/(1+0.70)</f>
        <v/>
      </c>
      <c r="D11" s="5" t="inlineStr">
        <is>
          <t>$0.55 (60% lower)</t>
        </is>
      </c>
      <c r="E11" s="14" t="inlineStr">
        <is>
          <t>Direct contracts with MNOs available</t>
        </is>
      </c>
    </row>
    <row r="14">
      <c r="A14" s="3" t="inlineStr">
        <is>
          <t>MULTI-AIRLINE EXPANSION</t>
        </is>
      </c>
    </row>
    <row r="15">
      <c r="A15" s="8" t="inlineStr">
        <is>
          <t>Year</t>
        </is>
      </c>
      <c r="B15" s="8" t="inlineStr">
        <is>
          <t>Airlines</t>
        </is>
      </c>
      <c r="C15" s="8" t="inlineStr">
        <is>
          <t>Volume Multiplier</t>
        </is>
      </c>
      <c r="D15" s="8" t="inlineStr">
        <is>
          <t>Crew Base</t>
        </is>
      </c>
      <c r="E15" s="8" t="inlineStr">
        <is>
          <t>Active Users Estimate</t>
        </is>
      </c>
      <c r="F15" s="8" t="inlineStr">
        <is>
          <t>Annual Revenue Estimate</t>
        </is>
      </c>
    </row>
    <row r="16">
      <c r="A16" s="9" t="inlineStr">
        <is>
          <t>Year 1</t>
        </is>
      </c>
      <c r="B16" s="14" t="inlineStr">
        <is>
          <t>Emirates (DXB)</t>
        </is>
      </c>
      <c r="C16" s="34" t="n">
        <v>1</v>
      </c>
      <c r="D16" s="23" t="n">
        <v>24000</v>
      </c>
      <c r="E16" s="23" t="n">
        <v>1000</v>
      </c>
      <c r="F16" s="25">
        <f>E16*SUMPRODUCT('Per-Tier Unit Economics'!I7:I13,'README &amp; Assumptions'!B36:B42)*12</f>
        <v/>
      </c>
    </row>
    <row r="17">
      <c r="A17" s="9" t="inlineStr">
        <is>
          <t>Year 2</t>
        </is>
      </c>
      <c r="B17" s="14" t="inlineStr">
        <is>
          <t>+ Etihad (AUH), JAL (NRT), ANA (HND)</t>
        </is>
      </c>
      <c r="C17" s="34" t="n">
        <v>3</v>
      </c>
      <c r="D17" s="23" t="n">
        <v>80000</v>
      </c>
      <c r="E17" s="23" t="n">
        <v>6000</v>
      </c>
      <c r="F17" s="25">
        <f>E17*SUMPRODUCT('Per-Tier Unit Economics'!I7:I13,'README &amp; Assumptions'!B36:B42)*12</f>
        <v/>
      </c>
    </row>
    <row r="18">
      <c r="A18" s="9" t="inlineStr">
        <is>
          <t>Year 3</t>
        </is>
      </c>
      <c r="B18" s="14" t="inlineStr">
        <is>
          <t>+ Singapore, Cathay (HKG), Qatar</t>
        </is>
      </c>
      <c r="C18" s="34" t="n">
        <v>5</v>
      </c>
      <c r="D18" s="23" t="n">
        <v>140000</v>
      </c>
      <c r="E18" s="23" t="n">
        <v>18000</v>
      </c>
      <c r="F18" s="25">
        <f>E18*SUMPRODUCT('Per-Tier Unit Economics'!I7:I13,'README &amp; Assumptions'!B36:B42)*12</f>
        <v/>
      </c>
    </row>
    <row r="21">
      <c r="A21" s="3" t="inlineStr">
        <is>
          <t>CREW SIM COMPETITIVE FLOOR — minimum price before tier goes negative</t>
        </is>
      </c>
    </row>
    <row r="22">
      <c r="A22" s="14" t="inlineStr">
        <is>
          <t>Crew SIM publishes rates for 41 countries. If they undercut, our floor = COGS + opex (zero margin)</t>
        </is>
      </c>
    </row>
    <row r="23">
      <c r="A23" s="8" t="inlineStr">
        <is>
          <t>Tier</t>
        </is>
      </c>
      <c r="B23" s="8" t="inlineStr">
        <is>
          <t>Current Retail</t>
        </is>
      </c>
      <c r="C23" s="8" t="inlineStr">
        <is>
          <t>eSIM COGS</t>
        </is>
      </c>
      <c r="D23" s="8" t="inlineStr">
        <is>
          <t>Opex</t>
        </is>
      </c>
      <c r="E23" s="8" t="inlineStr">
        <is>
          <t>Min Viable Price</t>
        </is>
      </c>
      <c r="F23" s="8" t="inlineStr">
        <is>
          <t>Crew SIM Reference</t>
        </is>
      </c>
      <c r="G23" s="8" t="inlineStr">
        <is>
          <t>Margin Cushion</t>
        </is>
      </c>
    </row>
    <row r="24">
      <c r="A24" s="9" t="inlineStr">
        <is>
          <t>Economy</t>
        </is>
      </c>
      <c r="B24" s="21">
        <f>'Per-Tier Unit Economics'!B7</f>
        <v/>
      </c>
      <c r="C24" s="21">
        <f>'Per-Tier Unit Economics'!E7</f>
        <v/>
      </c>
      <c r="D24" s="21">
        <f>'README &amp; Assumptions'!B53</f>
        <v/>
      </c>
      <c r="E24" s="22">
        <f>C24+D24</f>
        <v/>
      </c>
      <c r="F24" s="10" t="n">
        <v>4.99</v>
      </c>
      <c r="G24" s="35">
        <f>F24-E24</f>
        <v/>
      </c>
    </row>
    <row r="25">
      <c r="A25" s="9" t="inlineStr">
        <is>
          <t>Roster Bundle</t>
        </is>
      </c>
      <c r="B25" s="21">
        <f>'Per-Tier Unit Economics'!B8</f>
        <v/>
      </c>
      <c r="C25" s="21">
        <f>'Per-Tier Unit Economics'!E8</f>
        <v/>
      </c>
      <c r="D25" s="21">
        <f>'README &amp; Assumptions'!B53</f>
        <v/>
      </c>
      <c r="E25" s="22">
        <f>C25+D25</f>
        <v/>
      </c>
      <c r="F25" s="10" t="n">
        <v>35</v>
      </c>
      <c r="G25" s="35">
        <f>F25-E25</f>
        <v/>
      </c>
    </row>
    <row r="26">
      <c r="A26" s="9" t="inlineStr">
        <is>
          <t>Premium Economy</t>
        </is>
      </c>
      <c r="B26" s="21">
        <f>'Per-Tier Unit Economics'!B9</f>
        <v/>
      </c>
      <c r="C26" s="21">
        <f>'Per-Tier Unit Economics'!E9</f>
        <v/>
      </c>
      <c r="D26" s="21">
        <f>'README &amp; Assumptions'!B53</f>
        <v/>
      </c>
      <c r="E26" s="22">
        <f>C26+D26</f>
        <v/>
      </c>
      <c r="F26" s="10" t="n">
        <v>12.99</v>
      </c>
      <c r="G26" s="35">
        <f>F26-E26</f>
        <v/>
      </c>
    </row>
    <row r="27">
      <c r="A27" s="9" t="inlineStr">
        <is>
          <t>Business</t>
        </is>
      </c>
      <c r="B27" s="21">
        <f>'Per-Tier Unit Economics'!B10</f>
        <v/>
      </c>
      <c r="C27" s="21">
        <f>'Per-Tier Unit Economics'!E10</f>
        <v/>
      </c>
      <c r="D27" s="21">
        <f>'README &amp; Assumptions'!B53</f>
        <v/>
      </c>
      <c r="E27" s="22">
        <f>C27+D27</f>
        <v/>
      </c>
      <c r="F27" s="10" t="n">
        <v>21.99</v>
      </c>
      <c r="G27" s="35">
        <f>F27-E27</f>
        <v/>
      </c>
    </row>
    <row r="28">
      <c r="A28" s="9" t="inlineStr">
        <is>
          <t>First</t>
        </is>
      </c>
      <c r="B28" s="21">
        <f>'Per-Tier Unit Economics'!B11</f>
        <v/>
      </c>
      <c r="C28" s="21">
        <f>'Per-Tier Unit Economics'!E11</f>
        <v/>
      </c>
      <c r="D28" s="21">
        <f>'README &amp; Assumptions'!B53</f>
        <v/>
      </c>
      <c r="E28" s="22">
        <f>C28+D28</f>
        <v/>
      </c>
      <c r="F28" s="10" t="n">
        <v>39.99</v>
      </c>
      <c r="G28" s="35">
        <f>F28-E28</f>
        <v/>
      </c>
    </row>
    <row r="29">
      <c r="A29" s="9" t="inlineStr">
        <is>
          <t>First Suite</t>
        </is>
      </c>
      <c r="B29" s="21">
        <f>'Per-Tier Unit Economics'!B12</f>
        <v/>
      </c>
      <c r="C29" s="21">
        <f>'Per-Tier Unit Economics'!E12</f>
        <v/>
      </c>
      <c r="D29" s="21">
        <f>'README &amp; Assumptions'!B53</f>
        <v/>
      </c>
      <c r="E29" s="22">
        <f>C29+D29</f>
        <v/>
      </c>
      <c r="F29" s="10" t="n">
        <v>45</v>
      </c>
      <c r="G29" s="35">
        <f>F29-E29</f>
        <v/>
      </c>
    </row>
    <row r="30">
      <c r="A30" s="9" t="inlineStr">
        <is>
          <t>Cockpit</t>
        </is>
      </c>
      <c r="B30" s="21">
        <f>'Per-Tier Unit Economics'!B13</f>
        <v/>
      </c>
      <c r="C30" s="21">
        <f>'Per-Tier Unit Economics'!E13</f>
        <v/>
      </c>
      <c r="D30" s="21">
        <f>'README &amp; Assumptions'!B53</f>
        <v/>
      </c>
      <c r="E30" s="22">
        <f>C30+D30</f>
        <v/>
      </c>
      <c r="F30" s="10" t="n">
        <v>24.99</v>
      </c>
      <c r="G30" s="35">
        <f>F30-E30</f>
        <v/>
      </c>
    </row>
    <row r="31">
      <c r="A31" t="inlineStr">
        <is>
          <t>Refuel</t>
        </is>
      </c>
      <c r="B31">
        <f>'README &amp; Assumptions'!B21</f>
        <v/>
      </c>
      <c r="C31">
        <f>'README &amp; Assumptions'!C31</f>
        <v/>
      </c>
      <c r="D31">
        <f>'README &amp; Assumptions'!B53</f>
        <v/>
      </c>
      <c r="E31">
        <f>C31+D31</f>
        <v/>
      </c>
      <c r="F31" t="n">
        <v>4.99</v>
      </c>
      <c r="G31">
        <f>F31-E31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E31"/>
  <sheetViews>
    <sheetView workbookViewId="0">
      <selection activeCell="A1" sqref="A1"/>
    </sheetView>
  </sheetViews>
  <sheetFormatPr baseColWidth="8" defaultRowHeight="15"/>
  <cols>
    <col width="20" customWidth="1" min="1" max="1"/>
    <col width="24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Cash vs Accrual + Refuel Sensitivity + Failed-eSIM Cost</t>
        </is>
      </c>
    </row>
    <row r="3">
      <c r="A3" s="3" t="inlineStr">
        <is>
          <t>REFUEL ATTACH RATE SENSITIVITY (@ 1,000 users)</t>
        </is>
      </c>
    </row>
    <row r="4">
      <c r="A4" s="8" t="inlineStr">
        <is>
          <t>Refuel Attach %</t>
        </is>
      </c>
      <c r="B4" s="8" t="inlineStr">
        <is>
          <t>Monthly Refuel Revenue</t>
        </is>
      </c>
      <c r="C4" s="8" t="inlineStr">
        <is>
          <t>Monthly Refuel COGS</t>
        </is>
      </c>
      <c r="D4" s="8" t="inlineStr">
        <is>
          <t>Net Refuel Profit</t>
        </is>
      </c>
      <c r="E4" s="8" t="inlineStr">
        <is>
          <t>Net Margin Impact</t>
        </is>
      </c>
    </row>
    <row r="5">
      <c r="A5" s="13" t="n">
        <v>0.05</v>
      </c>
      <c r="B5" s="24">
        <f>1000*'README &amp; Assumptions'!B21*A5</f>
        <v/>
      </c>
      <c r="C5" s="24">
        <f>1000*'README &amp; Assumptions'!C31*A5</f>
        <v/>
      </c>
      <c r="D5" s="25">
        <f>B5-C5</f>
        <v/>
      </c>
      <c r="E5" s="36">
        <f>D5-($D$7)</f>
        <v/>
      </c>
    </row>
    <row r="6">
      <c r="A6" s="13" t="n">
        <v>0.1</v>
      </c>
      <c r="B6" s="24">
        <f>1000*'README &amp; Assumptions'!B21*A6</f>
        <v/>
      </c>
      <c r="C6" s="24">
        <f>1000*'README &amp; Assumptions'!C31*A6</f>
        <v/>
      </c>
      <c r="D6" s="25">
        <f>B6-C6</f>
        <v/>
      </c>
      <c r="E6" s="36">
        <f>D6-($D$7)</f>
        <v/>
      </c>
    </row>
    <row r="7">
      <c r="A7" s="13" t="n">
        <v>0.15</v>
      </c>
      <c r="B7" s="24">
        <f>1000*'README &amp; Assumptions'!B21*A7</f>
        <v/>
      </c>
      <c r="C7" s="24">
        <f>1000*'README &amp; Assumptions'!C31*A7</f>
        <v/>
      </c>
      <c r="D7" s="25">
        <f>B7-C7</f>
        <v/>
      </c>
      <c r="E7" s="36">
        <f>D7-($D$7)</f>
        <v/>
      </c>
    </row>
    <row r="8">
      <c r="A8" s="13" t="n">
        <v>0.2</v>
      </c>
      <c r="B8" s="24">
        <f>1000*'README &amp; Assumptions'!B21*A8</f>
        <v/>
      </c>
      <c r="C8" s="24">
        <f>1000*'README &amp; Assumptions'!C31*A8</f>
        <v/>
      </c>
      <c r="D8" s="25">
        <f>B8-C8</f>
        <v/>
      </c>
      <c r="E8" s="36">
        <f>D8-($D$7)</f>
        <v/>
      </c>
    </row>
    <row r="9">
      <c r="A9" s="13" t="n">
        <v>0.25</v>
      </c>
      <c r="B9" s="24">
        <f>1000*'README &amp; Assumptions'!B21*A9</f>
        <v/>
      </c>
      <c r="C9" s="24">
        <f>1000*'README &amp; Assumptions'!C31*A9</f>
        <v/>
      </c>
      <c r="D9" s="25">
        <f>B9-C9</f>
        <v/>
      </c>
      <c r="E9" s="36">
        <f>D9-($D$7)</f>
        <v/>
      </c>
    </row>
    <row r="10">
      <c r="A10" s="13" t="n">
        <v>0.3</v>
      </c>
      <c r="B10" s="24">
        <f>1000*'README &amp; Assumptions'!B21*A10</f>
        <v/>
      </c>
      <c r="C10" s="24">
        <f>1000*'README &amp; Assumptions'!C31*A10</f>
        <v/>
      </c>
      <c r="D10" s="25">
        <f>B10-C10</f>
        <v/>
      </c>
      <c r="E10" s="36">
        <f>D10-($D$7)</f>
        <v/>
      </c>
    </row>
    <row r="13">
      <c r="A13" s="3" t="inlineStr">
        <is>
          <t>FAILED-eSIM COST</t>
        </is>
      </c>
    </row>
    <row r="14">
      <c r="A14" s="14" t="inlineStr">
        <is>
          <t>For every failed activation: refund + 2GB goodwill + reissue cost</t>
        </is>
      </c>
    </row>
    <row r="15">
      <c r="A15" s="8" t="inlineStr">
        <is>
          <t>Failure Rate</t>
        </is>
      </c>
      <c r="B15" s="8" t="inlineStr">
        <is>
          <t>Cost per Failed Activation</t>
        </is>
      </c>
      <c r="C15" s="8" t="inlineStr">
        <is>
          <t>Failed/mo @ 1K users</t>
        </is>
      </c>
      <c r="D15" s="8" t="inlineStr">
        <is>
          <t>Monthly Cost</t>
        </is>
      </c>
      <c r="E15" s="8" t="inlineStr">
        <is>
          <t>Annual Cost</t>
        </is>
      </c>
    </row>
    <row r="16">
      <c r="A16" s="29" t="n">
        <v>0.01</v>
      </c>
      <c r="B16" s="10" t="n">
        <v>4</v>
      </c>
      <c r="C16" s="37">
        <f>1000*A16*3</f>
        <v/>
      </c>
      <c r="D16" s="25">
        <f>C16*B16</f>
        <v/>
      </c>
      <c r="E16" s="25">
        <f>D16*12</f>
        <v/>
      </c>
    </row>
    <row r="17">
      <c r="A17" s="29" t="n">
        <v>0.02</v>
      </c>
      <c r="B17" s="10" t="n">
        <v>4</v>
      </c>
      <c r="C17" s="37">
        <f>1000*A17*3</f>
        <v/>
      </c>
      <c r="D17" s="25">
        <f>C17*B17</f>
        <v/>
      </c>
      <c r="E17" s="25">
        <f>D17*12</f>
        <v/>
      </c>
    </row>
    <row r="18">
      <c r="A18" s="29" t="n">
        <v>0.03</v>
      </c>
      <c r="B18" s="10" t="n">
        <v>4</v>
      </c>
      <c r="C18" s="37">
        <f>1000*A18*3</f>
        <v/>
      </c>
      <c r="D18" s="25">
        <f>C18*B18</f>
        <v/>
      </c>
      <c r="E18" s="25">
        <f>D18*12</f>
        <v/>
      </c>
    </row>
    <row r="19">
      <c r="A19" s="29" t="n">
        <v>0.05</v>
      </c>
      <c r="B19" s="10" t="n">
        <v>4</v>
      </c>
      <c r="C19" s="37">
        <f>1000*A19*3</f>
        <v/>
      </c>
      <c r="D19" s="25">
        <f>C19*B19</f>
        <v/>
      </c>
      <c r="E19" s="25">
        <f>D19*12</f>
        <v/>
      </c>
    </row>
    <row r="20">
      <c r="A20" s="29" t="n">
        <v>0.08</v>
      </c>
      <c r="B20" s="10" t="n">
        <v>4</v>
      </c>
      <c r="C20" s="37">
        <f>1000*A20*3</f>
        <v/>
      </c>
      <c r="D20" s="25">
        <f>C20*B20</f>
        <v/>
      </c>
      <c r="E20" s="25">
        <f>D20*12</f>
        <v/>
      </c>
    </row>
    <row r="23">
      <c r="A23" s="3" t="inlineStr">
        <is>
          <t>COCKPIT ANNUAL CASH ADVANTAGE</t>
        </is>
      </c>
    </row>
    <row r="24">
      <c r="A24" s="14" t="inlineStr">
        <is>
          <t>$299 collected upfront vs $24.92/mo over 12 months. The cashflow boost matters for runway.</t>
        </is>
      </c>
    </row>
    <row r="25">
      <c r="A25" s="8" t="inlineStr">
        <is>
          <t>Cockpit Users</t>
        </is>
      </c>
      <c r="B25" s="8" t="inlineStr">
        <is>
          <t>Monthly Sub Recognized</t>
        </is>
      </c>
      <c r="C25" s="8" t="inlineStr">
        <is>
          <t>Upfront Cash</t>
        </is>
      </c>
      <c r="D25" s="8" t="inlineStr">
        <is>
          <t>Cash Boost vs Monthly</t>
        </is>
      </c>
    </row>
    <row r="26">
      <c r="A26" s="23" t="n">
        <v>10</v>
      </c>
      <c r="B26" s="24">
        <f>A26*24.92</f>
        <v/>
      </c>
      <c r="C26" s="25">
        <f>A26*299</f>
        <v/>
      </c>
      <c r="D26" s="24">
        <f>C26-(B26*12)</f>
        <v/>
      </c>
    </row>
    <row r="27">
      <c r="A27" s="23" t="n">
        <v>50</v>
      </c>
      <c r="B27" s="24">
        <f>A27*24.92</f>
        <v/>
      </c>
      <c r="C27" s="25">
        <f>A27*299</f>
        <v/>
      </c>
      <c r="D27" s="24">
        <f>C27-(B27*12)</f>
        <v/>
      </c>
    </row>
    <row r="28">
      <c r="A28" s="23" t="n">
        <v>100</v>
      </c>
      <c r="B28" s="24">
        <f>A28*24.92</f>
        <v/>
      </c>
      <c r="C28" s="25">
        <f>A28*299</f>
        <v/>
      </c>
      <c r="D28" s="24">
        <f>C28-(B28*12)</f>
        <v/>
      </c>
    </row>
    <row r="29">
      <c r="A29" s="23" t="n">
        <v>200</v>
      </c>
      <c r="B29" s="24">
        <f>A29*24.92</f>
        <v/>
      </c>
      <c r="C29" s="25">
        <f>A29*299</f>
        <v/>
      </c>
      <c r="D29" s="24">
        <f>C29-(B29*12)</f>
        <v/>
      </c>
    </row>
    <row r="30">
      <c r="A30" s="23" t="n">
        <v>500</v>
      </c>
      <c r="B30" s="24">
        <f>A30*24.92</f>
        <v/>
      </c>
      <c r="C30" s="25">
        <f>A30*299</f>
        <v/>
      </c>
      <c r="D30" s="24">
        <f>C30-(B30*12)</f>
        <v/>
      </c>
    </row>
    <row r="31">
      <c r="A31" s="23" t="n">
        <v>1000</v>
      </c>
      <c r="B31" s="24">
        <f>A31*24.92</f>
        <v/>
      </c>
      <c r="C31" s="25">
        <f>A31*299</f>
        <v/>
      </c>
      <c r="D31" s="24">
        <f>C31-(B31*12)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2026-05-31T07:19:46Z</dcterms:created>
  <dcterms:modified xmlns:dcterms="http://purl.org/dc/terms/" xmlns:xsi="http://www.w3.org/2001/XMLSchema-instance" xsi:type="dcterms:W3CDTF">2026-06-01T14:33:07Z</dcterms:modified>
</cp:coreProperties>
</file>