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7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</numFmts>
  <fonts count="35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  <font>
      <name val="Helvetica Neue"/>
      <b val="1"/>
      <color rgb="00D71921"/>
      <sz val="11"/>
    </font>
  </fonts>
  <fills count="13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B20*12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7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A25:F2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3" customWidth="1" min="3" max="3"/>
    <col width="12" customWidth="1" min="4" max="4"/>
    <col width="12" customWidth="1" min="5" max="5"/>
    <col width="11" customWidth="1" min="6" max="6"/>
    <col width="13" customWidth="1" min="7" max="7"/>
    <col width="13" customWidth="1" min="8" max="8"/>
    <col width="14" customWidth="1" min="9" max="9"/>
    <col width="13" customWidth="1" min="10" max="10"/>
    <col width="13" customWidth="1" min="11" max="11"/>
    <col width="13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refuel income, gross margin, and net margin (after OPEX). Single-user view.</t>
        </is>
      </c>
    </row>
    <row r="3">
      <c r="A3" s="39" t="inlineStr">
        <is>
          <t>Pulls prices from README (rows 14-21), GB Consumed from Tab 2 (rows 21-28), blended wholesale cost from README C31, OPEX from README B53.</t>
        </is>
      </c>
    </row>
    <row r="4">
      <c r="A4" s="94" t="inlineStr">
        <is>
          <t>🗺 TAB 3 BITES MAP — what each part of this tab covers</t>
        </is>
      </c>
    </row>
    <row r="5">
      <c r="A5" s="41" t="inlineStr">
        <is>
          <t>Bite #</t>
        </is>
      </c>
      <c r="B5" s="41" t="inlineStr">
        <is>
          <t>Topic</t>
        </is>
      </c>
      <c r="C5" s="41" t="inlineStr">
        <is>
          <t>Where to look</t>
        </is>
      </c>
      <c r="D5" s="41" t="inlineStr">
        <is>
          <t>Key takeaway</t>
        </is>
      </c>
    </row>
    <row r="6">
      <c r="A6" s="120" t="inlineStr">
        <is>
          <t>Bite 1</t>
        </is>
      </c>
      <c r="B6" s="90" t="inlineStr">
        <is>
          <t>What Tab 3 does</t>
        </is>
      </c>
      <c r="C6" s="39" t="inlineStr">
        <is>
          <t>Read rows 1-3 (title + purpose)</t>
        </is>
      </c>
      <c r="D6" s="90" t="inlineStr">
        <is>
          <t>Per-USER economics — not total revenue</t>
        </is>
      </c>
    </row>
    <row r="7" ht="50" customHeight="1">
      <c r="A7" s="120" t="inlineStr">
        <is>
          <t>Bite 2</t>
        </is>
      </c>
      <c r="B7" s="90" t="inlineStr">
        <is>
          <t>The 13 columns explained</t>
        </is>
      </c>
      <c r="C7" s="39" t="inlineStr">
        <is>
          <t>Columns A-M, headers in row 17</t>
        </is>
      </c>
      <c r="D7" s="90" t="inlineStr">
        <is>
          <t>Group 1 = inputs, Group 2 = eSIM math, Group 3 = profit math</t>
        </is>
      </c>
    </row>
    <row r="8">
      <c r="A8" s="120" t="inlineStr">
        <is>
          <t>Bite 3</t>
        </is>
      </c>
      <c r="B8" s="90" t="inlineStr">
        <is>
          <t>Per-tier profit numbers</t>
        </is>
      </c>
      <c r="C8" s="39" t="inlineStr">
        <is>
          <t>Data rows 18-24 (Economy → Cockpit)</t>
        </is>
      </c>
      <c r="D8" s="90" t="inlineStr">
        <is>
          <t>Business 71% margin / First Suite $33 highest absolute profit</t>
        </is>
      </c>
    </row>
    <row r="9">
      <c r="A9" s="120" t="inlineStr">
        <is>
          <t>Bite 4</t>
        </is>
      </c>
      <c r="B9" s="90" t="inlineStr">
        <is>
          <t>Strategic insights</t>
        </is>
      </c>
      <c r="C9" s="39" t="inlineStr">
        <is>
          <t>Read the whole data table 18-24</t>
        </is>
      </c>
      <c r="D9" s="90" t="inlineStr">
        <is>
          <t>First Suite is hero / Business is RECOMMENDED / First lowest margin</t>
        </is>
      </c>
    </row>
    <row r="10">
      <c r="A10" s="120" t="inlineStr">
        <is>
          <t>Bite 5</t>
        </is>
      </c>
      <c r="B10" s="90" t="inlineStr">
        <is>
          <t>How Tab 3 feeds downstream</t>
        </is>
      </c>
      <c r="C10" s="39" t="inlineStr">
        <is>
          <t>See "Sources" section + cross-tab references</t>
        </is>
      </c>
      <c r="D10" s="90" t="inlineStr">
        <is>
          <t>Per-user × user count → Tab 5/6/8</t>
        </is>
      </c>
    </row>
    <row r="11"/>
    <row r="12"/>
    <row r="13"/>
    <row r="14"/>
    <row r="15">
      <c r="A15" s="94" t="inlineStr">
        <is>
          <t>1. PER-TIER UNIT ECONOMICS (Bites 2-4) — single subscriber per month</t>
        </is>
      </c>
    </row>
    <row r="16"/>
    <row r="17">
      <c r="A17" s="47" t="inlineStr">
        <is>
          <t>Tier</t>
        </is>
      </c>
      <c r="B17" s="47" t="inlineStr">
        <is>
          <t>Monthly Revenue</t>
        </is>
      </c>
      <c r="C17" s="47" t="inlineStr">
        <is>
          <t>GB Consumed</t>
        </is>
      </c>
      <c r="D17" s="47" t="inlineStr">
        <is>
          <t>Wholesale $/GB</t>
        </is>
      </c>
      <c r="E17" s="47" t="inlineStr">
        <is>
          <t>eSIM COGS</t>
        </is>
      </c>
      <c r="F17" s="47" t="inlineStr">
        <is>
          <t>Refuel Attach %</t>
        </is>
      </c>
      <c r="G17" s="47" t="inlineStr">
        <is>
          <t>Refuel Revenue</t>
        </is>
      </c>
      <c r="H17" s="47" t="inlineStr">
        <is>
          <t>Refuel COGS</t>
        </is>
      </c>
      <c r="I17" s="47" t="inlineStr">
        <is>
          <t>Total Revenue</t>
        </is>
      </c>
      <c r="J17" s="47" t="inlineStr">
        <is>
          <t>Total COGS</t>
        </is>
      </c>
      <c r="K17" s="47" t="inlineStr">
        <is>
          <t>Gross Profit</t>
        </is>
      </c>
      <c r="L17" s="47" t="inlineStr">
        <is>
          <t>Gross Margin %</t>
        </is>
      </c>
      <c r="M17" s="47" t="inlineStr">
        <is>
          <t>Net Margin (after OPEX)</t>
        </is>
      </c>
    </row>
    <row r="18">
      <c r="A18" s="90" t="inlineStr">
        <is>
          <t>Economy (PAYG)</t>
        </is>
      </c>
      <c r="B18" s="46">
        <f>'README &amp; Assumptions'!B14</f>
        <v/>
      </c>
      <c r="C18" s="49">
        <f>'User Behavior'!D21</f>
        <v/>
      </c>
      <c r="D18" s="46">
        <f>'README &amp; Assumptions'!C31</f>
        <v/>
      </c>
      <c r="E18" s="54">
        <f>C8*D8</f>
        <v/>
      </c>
      <c r="F18" s="81" t="n">
        <v>0</v>
      </c>
      <c r="G18" s="54">
        <f>F8*'README &amp; Assumptions'!B21</f>
        <v/>
      </c>
      <c r="H18" s="54">
        <f>F8*1*D8</f>
        <v/>
      </c>
      <c r="I18" s="54">
        <f>B8+G8</f>
        <v/>
      </c>
      <c r="J18" s="54">
        <f>E8+H8</f>
        <v/>
      </c>
      <c r="K18" s="54">
        <f>I8-J8</f>
        <v/>
      </c>
      <c r="L18" s="26">
        <f>IFERROR(K8/I8,0)</f>
        <v/>
      </c>
      <c r="M18" s="26">
        <f>IFERROR((K8-'README &amp; Assumptions'!B53)/I8,0)</f>
        <v/>
      </c>
    </row>
    <row r="19">
      <c r="A19" s="90" t="inlineStr">
        <is>
          <t>Roster Bundle</t>
        </is>
      </c>
      <c r="B19" s="46">
        <f>'README &amp; Assumptions'!B15</f>
        <v/>
      </c>
      <c r="C19" s="49">
        <f>'User Behavior'!D22</f>
        <v/>
      </c>
      <c r="D19" s="46">
        <f>'README &amp; Assumptions'!C31</f>
        <v/>
      </c>
      <c r="E19" s="54">
        <f>C9*D9</f>
        <v/>
      </c>
      <c r="F19" s="81" t="n">
        <v>0.1</v>
      </c>
      <c r="G19" s="54">
        <f>F9*'README &amp; Assumptions'!B21</f>
        <v/>
      </c>
      <c r="H19" s="54">
        <f>F9*1*D9</f>
        <v/>
      </c>
      <c r="I19" s="54">
        <f>B9+G9</f>
        <v/>
      </c>
      <c r="J19" s="54">
        <f>E9+H9</f>
        <v/>
      </c>
      <c r="K19" s="54">
        <f>I9-J9</f>
        <v/>
      </c>
      <c r="L19" s="26">
        <f>IFERROR(K9/I9,0)</f>
        <v/>
      </c>
      <c r="M19" s="26">
        <f>IFERROR((K9-'README &amp; Assumptions'!B53)/I9,0)</f>
        <v/>
      </c>
    </row>
    <row r="20">
      <c r="A20" s="90" t="inlineStr">
        <is>
          <t>Premium Economy</t>
        </is>
      </c>
      <c r="B20" s="46">
        <f>'README &amp; Assumptions'!B16</f>
        <v/>
      </c>
      <c r="C20" s="49">
        <f>'User Behavior'!D23</f>
        <v/>
      </c>
      <c r="D20" s="46">
        <f>'README &amp; Assumptions'!C31</f>
        <v/>
      </c>
      <c r="E20" s="54">
        <f>C10*D10</f>
        <v/>
      </c>
      <c r="F20" s="81" t="n">
        <v>0.2</v>
      </c>
      <c r="G20" s="54">
        <f>F10*'README &amp; Assumptions'!B21</f>
        <v/>
      </c>
      <c r="H20" s="54">
        <f>F10*1*D10</f>
        <v/>
      </c>
      <c r="I20" s="54">
        <f>B10+G10</f>
        <v/>
      </c>
      <c r="J20" s="54">
        <f>E10+H10</f>
        <v/>
      </c>
      <c r="K20" s="54">
        <f>I10-J10</f>
        <v/>
      </c>
      <c r="L20" s="26">
        <f>IFERROR(K10/I10,0)</f>
        <v/>
      </c>
      <c r="M20" s="26">
        <f>IFERROR((K10-'README &amp; Assumptions'!B53)/I10,0)</f>
        <v/>
      </c>
    </row>
    <row r="21">
      <c r="A21" s="93" t="inlineStr">
        <is>
          <t>Business</t>
        </is>
      </c>
      <c r="B21" s="101">
        <f>'README &amp; Assumptions'!B17</f>
        <v/>
      </c>
      <c r="C21" s="102">
        <f>'User Behavior'!D24</f>
        <v/>
      </c>
      <c r="D21" s="101">
        <f>'README &amp; Assumptions'!C31</f>
        <v/>
      </c>
      <c r="E21" s="59">
        <f>C11*D11</f>
        <v/>
      </c>
      <c r="F21" s="103" t="n">
        <v>0.25</v>
      </c>
      <c r="G21" s="59">
        <f>F11*'README &amp; Assumptions'!B21</f>
        <v/>
      </c>
      <c r="H21" s="59">
        <f>F11*1*D11</f>
        <v/>
      </c>
      <c r="I21" s="59">
        <f>B11+G11</f>
        <v/>
      </c>
      <c r="J21" s="59">
        <f>E11+H11</f>
        <v/>
      </c>
      <c r="K21" s="59">
        <f>I11-J11</f>
        <v/>
      </c>
      <c r="L21" s="104">
        <f>IFERROR(K11/I11,0)</f>
        <v/>
      </c>
      <c r="M21" s="104">
        <f>IFERROR((K11-'README &amp; Assumptions'!B53)/I11,0)</f>
        <v/>
      </c>
    </row>
    <row r="22">
      <c r="A22" s="90" t="inlineStr">
        <is>
          <t>First</t>
        </is>
      </c>
      <c r="B22" s="46">
        <f>'README &amp; Assumptions'!B18</f>
        <v/>
      </c>
      <c r="C22" s="49">
        <f>'User Behavior'!D25</f>
        <v/>
      </c>
      <c r="D22" s="46">
        <f>'README &amp; Assumptions'!C31</f>
        <v/>
      </c>
      <c r="E22" s="54">
        <f>C12*D12</f>
        <v/>
      </c>
      <c r="F22" s="81" t="n">
        <v>0.4</v>
      </c>
      <c r="G22" s="54">
        <f>F12*'README &amp; Assumptions'!B21</f>
        <v/>
      </c>
      <c r="H22" s="54">
        <f>F12*1*D12</f>
        <v/>
      </c>
      <c r="I22" s="54">
        <f>B12+G12</f>
        <v/>
      </c>
      <c r="J22" s="54">
        <f>E12+H12</f>
        <v/>
      </c>
      <c r="K22" s="54">
        <f>I12-J12</f>
        <v/>
      </c>
      <c r="L22" s="26">
        <f>IFERROR(K12/I12,0)</f>
        <v/>
      </c>
      <c r="M22" s="26">
        <f>IFERROR((K12-'README &amp; Assumptions'!B53)/I12,0)</f>
        <v/>
      </c>
    </row>
    <row r="23">
      <c r="A23" s="90" t="inlineStr">
        <is>
          <t>First Suite</t>
        </is>
      </c>
      <c r="B23" s="46">
        <f>'README &amp; Assumptions'!B19</f>
        <v/>
      </c>
      <c r="C23" s="49">
        <f>'User Behavior'!D26</f>
        <v/>
      </c>
      <c r="D23" s="46">
        <f>'README &amp; Assumptions'!C31</f>
        <v/>
      </c>
      <c r="E23" s="54">
        <f>C13*D13</f>
        <v/>
      </c>
      <c r="F23" s="81" t="n">
        <v>0.2</v>
      </c>
      <c r="G23" s="54">
        <f>F13*'README &amp; Assumptions'!B21</f>
        <v/>
      </c>
      <c r="H23" s="54">
        <f>F13*1*D13</f>
        <v/>
      </c>
      <c r="I23" s="54">
        <f>B13+G13</f>
        <v/>
      </c>
      <c r="J23" s="54">
        <f>E13+H13</f>
        <v/>
      </c>
      <c r="K23" s="54">
        <f>I13-J13</f>
        <v/>
      </c>
      <c r="L23" s="26">
        <f>IFERROR(K13/I13,0)</f>
        <v/>
      </c>
      <c r="M23" s="26">
        <f>IFERROR((K13-'README &amp; Assumptions'!B53)/I13,0)</f>
        <v/>
      </c>
    </row>
    <row r="24">
      <c r="A24" s="90" t="inlineStr">
        <is>
          <t>Cockpit (annual)</t>
        </is>
      </c>
      <c r="B24" s="46">
        <f>'README &amp; Assumptions'!B20</f>
        <v/>
      </c>
      <c r="C24" s="49">
        <f>'User Behavior'!D27</f>
        <v/>
      </c>
      <c r="D24" s="46">
        <f>'README &amp; Assumptions'!C31</f>
        <v/>
      </c>
      <c r="E24" s="54">
        <f>C14*D14</f>
        <v/>
      </c>
      <c r="F24" s="81" t="n">
        <v>0.15</v>
      </c>
      <c r="G24" s="54">
        <f>F14*'README &amp; Assumptions'!B21</f>
        <v/>
      </c>
      <c r="H24" s="54">
        <f>F14*1*D14</f>
        <v/>
      </c>
      <c r="I24" s="54">
        <f>B14+G14</f>
        <v/>
      </c>
      <c r="J24" s="54">
        <f>E14+H14</f>
        <v/>
      </c>
      <c r="K24" s="54">
        <f>I14-J14</f>
        <v/>
      </c>
      <c r="L24" s="26">
        <f>IFERROR(K14/I14,0)</f>
        <v/>
      </c>
      <c r="M24" s="26">
        <f>IFERROR((K14-'README &amp; Assumptions'!B53)/I14,0)</f>
        <v/>
      </c>
    </row>
    <row r="25"/>
    <row r="26">
      <c r="A26" s="39" t="inlineStr">
        <is>
          <t>⚠ Cockpit revenue here shows monthly equivalent ($24.92), not the annual $299 prepay. Cockpit ROI is best understood in Cockpit Logic tab.</t>
        </is>
      </c>
    </row>
    <row r="27"/>
    <row r="28">
      <c r="A28" s="94" t="inlineStr">
        <is>
          <t>2. HOW TO READ THIS TAB (Bite 2 — column-by-column)</t>
        </is>
      </c>
    </row>
    <row r="29">
      <c r="A29" s="95" t="inlineStr">
        <is>
          <t>Monthly Revenue</t>
        </is>
      </c>
      <c r="B29" s="90" t="inlineStr">
        <is>
          <t>What user pays us per month for their subscription/PAYG plan</t>
        </is>
      </c>
    </row>
    <row r="30">
      <c r="A30" s="95" t="inlineStr">
        <is>
          <t>GB Consumed</t>
        </is>
      </c>
      <c r="B30" s="90" t="inlineStr">
        <is>
          <t>How much data they actually USE (from Tab 2 per-tier rates, friction-adjusted)</t>
        </is>
      </c>
    </row>
    <row r="31">
      <c r="A31" s="95" t="inlineStr">
        <is>
          <t>Wholesale $/GB</t>
        </is>
      </c>
      <c r="B31" s="90" t="inlineStr">
        <is>
          <t>What we pay Samurai per GB consumed (blended Tier-A/B/C cost)</t>
        </is>
      </c>
    </row>
    <row r="32">
      <c r="A32" s="95" t="inlineStr">
        <is>
          <t>eSIM COGS</t>
        </is>
      </c>
      <c r="B32" s="90" t="inlineStr">
        <is>
          <t>GB consumed × wholesale $/GB = what we owe Samurai for this user</t>
        </is>
      </c>
    </row>
    <row r="33">
      <c r="A33" s="95" t="inlineStr">
        <is>
          <t>Refuel Revenue + COGS</t>
        </is>
      </c>
      <c r="B33" s="90" t="inlineStr">
        <is>
          <t>Some % of users top up. They pay $4.99 per 1 GB, we pay ~$0.85-$1.40 wholesale.</t>
        </is>
      </c>
    </row>
    <row r="34">
      <c r="A34" s="95" t="inlineStr">
        <is>
          <t>Total Revenue / COGS</t>
        </is>
      </c>
      <c r="B34" s="90" t="inlineStr">
        <is>
          <t>Sum of base + refuel</t>
        </is>
      </c>
    </row>
    <row r="35">
      <c r="A35" s="95" t="inlineStr">
        <is>
          <t>Gross Profit</t>
        </is>
      </c>
      <c r="B35" s="90" t="inlineStr">
        <is>
          <t>Total Revenue - Total COGS (before operating costs)</t>
        </is>
      </c>
    </row>
    <row r="36">
      <c r="A36" s="95" t="inlineStr">
        <is>
          <t>Gross Margin %</t>
        </is>
      </c>
      <c r="B36" s="90" t="inlineStr">
        <is>
          <t>Industry-standard profitability indicator. Target: 60-80%.</t>
        </is>
      </c>
    </row>
    <row r="37">
      <c r="A37" s="95" t="inlineStr">
        <is>
          <t>Net Margin (after OPEX)</t>
        </is>
      </c>
      <c r="B37" s="90" t="inlineStr">
        <is>
          <t>Gross Profit minus $1.80/user OPEX (cloud, payments, support, SMS, hosting)</t>
        </is>
      </c>
    </row>
    <row r="38"/>
    <row r="39"/>
    <row r="40">
      <c r="A40" s="94" t="inlineStr">
        <is>
          <t>3. SOURCES &amp; CONFIDENCE (Bite 5 — what feeds this tab)</t>
        </is>
      </c>
    </row>
    <row r="41">
      <c r="A41" s="41" t="inlineStr">
        <is>
          <t>Component</t>
        </is>
      </c>
      <c r="B41" s="41" t="inlineStr">
        <is>
          <t>Source</t>
        </is>
      </c>
      <c r="C41" s="41" t="inlineStr">
        <is>
          <t>Confidence</t>
        </is>
      </c>
    </row>
    <row r="42">
      <c r="A42" s="90" t="inlineStr">
        <is>
          <t>Retail prices</t>
        </is>
      </c>
      <c r="B42" s="90" t="inlineStr">
        <is>
          <t>Locked decisions 2026-06-01 (Tab 1 Section 2)</t>
        </is>
      </c>
      <c r="C42" s="90" t="inlineStr">
        <is>
          <t>HIGH</t>
        </is>
      </c>
    </row>
    <row r="43">
      <c r="A43" s="90" t="inlineStr">
        <is>
          <t>GB Consumed</t>
        </is>
      </c>
      <c r="B43" s="90" t="inlineStr">
        <is>
          <t>Per-tier rates from Tab 2 (40/45/54/33/60%)</t>
        </is>
      </c>
      <c r="C43" s="90" t="inlineStr">
        <is>
          <t>MEDIUM (estimates)</t>
        </is>
      </c>
    </row>
    <row r="44">
      <c r="A44" s="90" t="inlineStr">
        <is>
          <t>Wholesale $/GB</t>
        </is>
      </c>
      <c r="B44" s="90" t="inlineStr">
        <is>
          <t>Real wholesale rate sheet, weighted by 75/20/5 country mix (updated 2026-06-01)</t>
        </is>
      </c>
      <c r="C44" s="90" t="inlineStr">
        <is>
          <t>MEDIUM (mix is placeholder)</t>
        </is>
      </c>
    </row>
    <row r="45">
      <c r="A45" s="90" t="inlineStr">
        <is>
          <t>Refuel attach %</t>
        </is>
      </c>
      <c r="B45" s="90" t="inlineStr">
        <is>
          <t>MY ESTIMATE per tier (10-40%)</t>
        </is>
      </c>
      <c r="C45" s="90" t="inlineStr">
        <is>
          <t>LOW (needs validation)</t>
        </is>
      </c>
    </row>
    <row r="46">
      <c r="A46" s="90" t="inlineStr">
        <is>
          <t>OPEX $1.80/user</t>
        </is>
      </c>
      <c r="B46" s="90" t="inlineStr">
        <is>
          <t>Tab 1 Section 5 — payment processing $1.20 + others</t>
        </is>
      </c>
      <c r="C46" s="90" t="inlineStr">
        <is>
          <t>MEDIUM</t>
        </is>
      </c>
    </row>
    <row r="47"/>
    <row r="48"/>
    <row r="49">
      <c r="A49" s="94" t="inlineStr">
        <is>
          <t>4. VALIDATION QUEUE (open items)</t>
        </is>
      </c>
    </row>
    <row r="50">
      <c r="A50" s="39" t="inlineStr">
        <is>
          <t>• Per-tier refuel attach rates (10/20/25/40/20/15%) — validate via app analytics post-launch</t>
        </is>
      </c>
    </row>
    <row r="51">
      <c r="A51" s="39" t="inlineStr">
        <is>
          <t>• Wholesale country mix updated to 75/20/5 on 2026-06-01 (Emirates-realistic). Validate via 5-10 sample crew rosters.</t>
        </is>
      </c>
    </row>
    <row r="52">
      <c r="A52" s="39" t="inlineStr">
        <is>
          <t>• Per-tier consumption rates inherited from Tab 2 (same validation as Tab 2)</t>
        </is>
      </c>
    </row>
    <row r="53">
      <c r="A53" s="39" t="inlineStr">
        <is>
          <t>• Sensitivity test: what happens if Premium consumption is 50% instead of 40%?</t>
        </is>
      </c>
    </row>
  </sheetData>
  <mergeCells count="23">
    <mergeCell ref="D9:M9"/>
    <mergeCell ref="B23:M23"/>
    <mergeCell ref="A4:M4"/>
    <mergeCell ref="D8:M8"/>
    <mergeCell ref="A43:M43"/>
    <mergeCell ref="B19:M19"/>
    <mergeCell ref="A40:M40"/>
    <mergeCell ref="D10:M10"/>
    <mergeCell ref="B24:M24"/>
    <mergeCell ref="A1:M1"/>
    <mergeCell ref="B20:M20"/>
    <mergeCell ref="D6:M6"/>
    <mergeCell ref="B26:M26"/>
    <mergeCell ref="A41:M41"/>
    <mergeCell ref="A16:M16"/>
    <mergeCell ref="B25:M25"/>
    <mergeCell ref="B22:M22"/>
    <mergeCell ref="A3:M3"/>
    <mergeCell ref="D7:M7"/>
    <mergeCell ref="B27:M27"/>
    <mergeCell ref="B21:M21"/>
    <mergeCell ref="A2:M2"/>
    <mergeCell ref="A42:M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0.45</v>
      </c>
      <c r="C6" t="inlineStr">
        <is>
          <t>Blended 30-day plan: HK/KR $0.26, UK $0.32, USA $0.35, JP $0.37, AU $0.43, UAE $1.00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Behavior'!C11</f>
        <v/>
      </c>
    </row>
    <row r="13">
      <c r="A13" t="inlineStr">
        <is>
          <t>% Refuel attach (weighted)</t>
        </is>
      </c>
      <c r="B13" s="45">
        <f>'User Behavior'!D11</f>
        <v/>
      </c>
    </row>
    <row r="14">
      <c r="A14" t="inlineStr">
        <is>
          <t>Refuel price (per 1GB top-up)</t>
        </is>
      </c>
      <c r="B14" s="46">
        <f>'README &amp; Assumptions'!B20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Cockpit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Cockpit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Samurai from $0.45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B18*B19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(25-B18)*1.0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B22*4.99</f>
        <v/>
      </c>
    </row>
    <row r="24">
      <c r="A24" s="48" t="inlineStr">
        <is>
          <t>Refuel COGS</t>
        </is>
      </c>
      <c r="B24" s="54">
        <f>B22*B19</f>
        <v/>
      </c>
    </row>
    <row r="25">
      <c r="A25" s="48" t="inlineStr">
        <is>
          <t>TOTAL profit per user / mo</t>
        </is>
      </c>
      <c r="B25" s="83">
        <f>B17-B20+B23-B24</f>
        <v/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>
        <f>B25/(B17+B23)</f>
        <v/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696.78</v>
      </c>
      <c r="D31" s="86" t="n">
        <v>8361.360000000001</v>
      </c>
    </row>
    <row r="32">
      <c r="A32" s="71" t="n">
        <v>5000</v>
      </c>
      <c r="B32" s="71" t="n">
        <v>150</v>
      </c>
      <c r="C32" s="86" t="n">
        <v>3483.9</v>
      </c>
      <c r="D32" s="86" t="n">
        <v>41806.8</v>
      </c>
    </row>
    <row r="33">
      <c r="A33" s="71" t="n">
        <v>10000</v>
      </c>
      <c r="B33" s="71" t="n">
        <v>300</v>
      </c>
      <c r="C33" s="86" t="n">
        <v>6967.799999999999</v>
      </c>
      <c r="D33" s="86" t="n">
        <v>83613.59999999999</v>
      </c>
    </row>
    <row r="34">
      <c r="A34" s="71" t="n">
        <v>50000</v>
      </c>
      <c r="B34" s="71" t="n">
        <v>1500</v>
      </c>
      <c r="C34" s="86" t="n">
        <v>34839</v>
      </c>
      <c r="D34" s="86" t="n">
        <v>418068</v>
      </c>
    </row>
    <row r="35">
      <c r="A35" s="71" t="n">
        <v>100000</v>
      </c>
      <c r="B35" s="71" t="n">
        <v>3000</v>
      </c>
      <c r="C35" s="87" t="n">
        <v>69678</v>
      </c>
      <c r="D35" s="87" t="n">
        <v>836136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B19*B20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(40-B19)*1.0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B23*4.99</f>
        <v/>
      </c>
    </row>
    <row r="25">
      <c r="A25" s="48" t="inlineStr">
        <is>
          <t>Refuel COGS</t>
        </is>
      </c>
      <c r="B25" s="54">
        <f>B23*B20</f>
        <v/>
      </c>
    </row>
    <row r="26">
      <c r="A26" s="48" t="inlineStr">
        <is>
          <t>TOTAL profit per user / mo</t>
        </is>
      </c>
      <c r="B26" s="83">
        <f>B18-B21+B24-B25</f>
        <v/>
      </c>
    </row>
    <row r="27">
      <c r="A27" s="48" t="inlineStr">
        <is>
          <t>TOTAL margin</t>
        </is>
      </c>
      <c r="B27" s="84">
        <f>B26/(B18+B24)</f>
        <v/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660.6400000000001</v>
      </c>
      <c r="D32" s="86" t="n">
        <v>7927.680000000001</v>
      </c>
    </row>
    <row r="33">
      <c r="A33" s="71" t="n">
        <v>5000</v>
      </c>
      <c r="B33" s="71" t="n">
        <v>100</v>
      </c>
      <c r="C33" s="86" t="n">
        <v>3303.2</v>
      </c>
      <c r="D33" s="86" t="n">
        <v>39638.4</v>
      </c>
    </row>
    <row r="34">
      <c r="A34" s="71" t="n">
        <v>10000</v>
      </c>
      <c r="B34" s="71" t="n">
        <v>200</v>
      </c>
      <c r="C34" s="86" t="n">
        <v>6606.400000000001</v>
      </c>
      <c r="D34" s="86" t="n">
        <v>79276.8</v>
      </c>
    </row>
    <row r="35">
      <c r="A35" s="71" t="n">
        <v>50000</v>
      </c>
      <c r="B35" s="71" t="n">
        <v>1000</v>
      </c>
      <c r="C35" s="86" t="n">
        <v>33032</v>
      </c>
      <c r="D35" s="86" t="n">
        <v>396384</v>
      </c>
    </row>
    <row r="36">
      <c r="A36" s="71" t="n">
        <v>100000</v>
      </c>
      <c r="B36" s="71" t="n">
        <v>2000</v>
      </c>
      <c r="C36" s="87" t="n">
        <v>66064</v>
      </c>
      <c r="D36" s="87" t="n">
        <v>792768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16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13" t="inlineStr">
        <is>
          <t>TOTAL fixed monthly burn (early)</t>
        </is>
      </c>
      <c r="B26" s="113" t="inlineStr"/>
      <c r="C26" s="117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9" ht="26" customHeight="1">
      <c r="A29" s="107" t="inlineStr">
        <is>
          <t>Section 3 — Variable scaling costs (marketing &amp; growth)</t>
        </is>
      </c>
    </row>
    <row r="30" ht="30" customHeight="1">
      <c r="A30" s="108" t="inlineStr">
        <is>
          <t>Cost line</t>
        </is>
      </c>
      <c r="B30" s="108" t="inlineStr">
        <is>
          <t>Pre-launch</t>
        </is>
      </c>
      <c r="C30" s="108" t="inlineStr">
        <is>
          <t>Early</t>
        </is>
      </c>
      <c r="D30" s="108" t="inlineStr">
        <is>
          <t>Growth</t>
        </is>
      </c>
      <c r="E30" s="108" t="inlineStr">
        <is>
          <t>Notes</t>
        </is>
      </c>
    </row>
    <row r="31">
      <c r="A31" s="109" t="inlineStr">
        <is>
          <t>Crew WhatsApp acquisition (Akito's network)</t>
        </is>
      </c>
      <c r="B31" s="116" t="n">
        <v>0</v>
      </c>
      <c r="C31" s="116" t="n">
        <v>0</v>
      </c>
      <c r="D31" s="116" t="n">
        <v>0</v>
      </c>
      <c r="E31" s="111" t="inlineStr">
        <is>
          <t>Free organic — the wedge</t>
        </is>
      </c>
    </row>
    <row r="32">
      <c r="A32" s="109" t="inlineStr">
        <is>
          <t>Referral incentives ($5 credit per referral)</t>
        </is>
      </c>
      <c r="B32" s="116" t="n">
        <v>0</v>
      </c>
      <c r="C32" s="116" t="n">
        <v>500</v>
      </c>
      <c r="D32" s="116" t="n">
        <v>2000</v>
      </c>
      <c r="E32" s="111" t="inlineStr">
        <is>
          <t>Scale with user growth</t>
        </is>
      </c>
    </row>
    <row r="33">
      <c r="A33" s="109" t="inlineStr">
        <is>
          <t>Paid social (Instagram crew creators)</t>
        </is>
      </c>
      <c r="B33" s="116" t="n">
        <v>0</v>
      </c>
      <c r="C33" s="116" t="n">
        <v>500</v>
      </c>
      <c r="D33" s="116" t="n">
        <v>5000</v>
      </c>
      <c r="E33" s="111" t="inlineStr">
        <is>
          <t>Phase 2 onwards</t>
        </is>
      </c>
    </row>
    <row r="34">
      <c r="A34" s="109" t="inlineStr">
        <is>
          <t>Content marketing (Akito blog/JP content)</t>
        </is>
      </c>
      <c r="B34" s="116" t="n">
        <v>0</v>
      </c>
      <c r="C34" s="116" t="n">
        <v>0</v>
      </c>
      <c r="D34" s="116" t="n">
        <v>0</v>
      </c>
      <c r="E34" s="111" t="inlineStr">
        <is>
          <t>Time-based, no $ cost</t>
        </is>
      </c>
    </row>
    <row r="35">
      <c r="A35" s="109" t="inlineStr">
        <is>
          <t>Beta crew gifts/swag</t>
        </is>
      </c>
      <c r="B35" s="116" t="n">
        <v>200</v>
      </c>
      <c r="C35" s="116" t="n">
        <v>0</v>
      </c>
      <c r="D35" s="116" t="n">
        <v>0</v>
      </c>
      <c r="E35" s="111" t="inlineStr">
        <is>
          <t>One-time ($200) — placed in pre-launch column</t>
        </is>
      </c>
    </row>
    <row r="36">
      <c r="A36" s="109" t="inlineStr">
        <is>
          <t>Crew interview compensation</t>
        </is>
      </c>
      <c r="B36" s="116" t="n">
        <v>0</v>
      </c>
      <c r="C36" s="116" t="n">
        <v>0</v>
      </c>
      <c r="D36" s="116" t="n">
        <v>0</v>
      </c>
      <c r="E36" s="111" t="inlineStr">
        <is>
          <t>$50 × 20-30 crew, one-time — see Section 4</t>
        </is>
      </c>
    </row>
    <row r="37">
      <c r="A37" s="109" t="inlineStr">
        <is>
          <t>Conferences / events</t>
        </is>
      </c>
      <c r="B37" s="116" t="n">
        <v>0</v>
      </c>
      <c r="C37" s="116" t="n">
        <v>0</v>
      </c>
      <c r="D37" s="116" t="n">
        <v>3000</v>
      </c>
      <c r="E37" s="111" t="inlineStr">
        <is>
          <t>Year 2+ when we have product</t>
        </is>
      </c>
    </row>
    <row r="38">
      <c r="A38" s="113" t="inlineStr">
        <is>
          <t>TOTAL marketing (early stage)</t>
        </is>
      </c>
      <c r="B38" s="113" t="inlineStr"/>
      <c r="C38" s="117">
        <f>SUM(C31:C37)</f>
        <v/>
      </c>
      <c r="D38" s="113" t="inlineStr"/>
      <c r="E38" s="115" t="inlineStr">
        <is>
          <t>(sum) — quoted $1,000</t>
        </is>
      </c>
    </row>
    <row r="39">
      <c r="A39" s="113" t="inlineStr">
        <is>
          <t>TOTAL marketing (growth stage)</t>
        </is>
      </c>
      <c r="B39" s="113" t="inlineStr"/>
      <c r="C39" s="113" t="inlineStr"/>
      <c r="D39" s="117">
        <f>SUM(D31:D37)</f>
        <v/>
      </c>
      <c r="E39" s="115" t="inlineStr">
        <is>
          <t>(sum) — quoted $10,000</t>
        </is>
      </c>
    </row>
    <row r="41" ht="26" customHeight="1">
      <c r="A41" s="107" t="inlineStr">
        <is>
          <t>Section 4 — One-time costs</t>
        </is>
      </c>
    </row>
    <row r="42" ht="30" customHeight="1">
      <c r="A42" s="108" t="inlineStr">
        <is>
          <t>Cost</t>
        </is>
      </c>
      <c r="B42" s="108" t="inlineStr">
        <is>
          <t>Amount</t>
        </is>
      </c>
      <c r="C42" s="108" t="inlineStr">
        <is>
          <t>When</t>
        </is>
      </c>
      <c r="D42" s="108" t="inlineStr"/>
      <c r="E42" s="108" t="inlineStr"/>
    </row>
    <row r="43">
      <c r="A43" s="109" t="inlineStr">
        <is>
          <t>Delaware LLC filing</t>
        </is>
      </c>
      <c r="B43" s="116" t="n">
        <v>90</v>
      </c>
      <c r="C43" s="111" t="inlineStr">
        <is>
          <t>This week</t>
        </is>
      </c>
      <c r="D43" s="109" t="inlineStr"/>
      <c r="E43" s="109" t="inlineStr"/>
    </row>
    <row r="44">
      <c r="A44" s="109" t="inlineStr">
        <is>
          <t>Trademark Class 35 search</t>
        </is>
      </c>
      <c r="B44" s="116" t="n">
        <v>1500</v>
      </c>
      <c r="C44" s="111" t="inlineStr">
        <is>
          <t>Before public launch</t>
        </is>
      </c>
      <c r="D44" s="109" t="inlineStr"/>
      <c r="E44" s="109" t="inlineStr"/>
    </row>
    <row r="45">
      <c r="A45" s="109" t="inlineStr">
        <is>
          <t>Trademark Class 9/38 filing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moonlight.ventures domain (5 years)</t>
        </is>
      </c>
      <c r="B46" s="116" t="n">
        <v>125</v>
      </c>
      <c r="C46" s="111" t="inlineStr">
        <is>
          <t>This week</t>
        </is>
      </c>
      <c r="D46" s="109" t="inlineStr"/>
      <c r="E46" s="109" t="inlineStr"/>
    </row>
    <row r="47">
      <c r="A47" s="109" t="inlineStr">
        <is>
          <t>Initial Apple Developer enrollment</t>
        </is>
      </c>
      <c r="B47" s="116" t="n">
        <v>99</v>
      </c>
      <c r="C47" s="111" t="inlineStr">
        <is>
          <t>LLC formation prereq</t>
        </is>
      </c>
      <c r="D47" s="109" t="inlineStr"/>
      <c r="E47" s="109" t="inlineStr"/>
    </row>
    <row r="48">
      <c r="A48" s="109" t="inlineStr">
        <is>
          <t>Mercury bank setup</t>
        </is>
      </c>
      <c r="B48" s="116" t="n">
        <v>0</v>
      </c>
      <c r="C48" s="111" t="inlineStr">
        <is>
          <t>Free</t>
        </is>
      </c>
      <c r="D48" s="109" t="inlineStr"/>
      <c r="E48" s="109" t="inlineStr"/>
    </row>
    <row r="49">
      <c r="A49" s="109" t="inlineStr">
        <is>
          <t>Initial Samurai onboarding fees</t>
        </is>
      </c>
      <c r="B49" s="116" t="n">
        <v>0</v>
      </c>
      <c r="C49" s="111" t="inlineStr">
        <is>
          <t>None</t>
        </is>
      </c>
      <c r="D49" s="109" t="inlineStr"/>
      <c r="E49" s="109" t="inlineStr"/>
    </row>
    <row r="50">
      <c r="A50" s="113" t="inlineStr">
        <is>
          <t>TOTAL one-time</t>
        </is>
      </c>
      <c r="B50" s="117">
        <f>SUM(B43:B49)</f>
        <v/>
      </c>
      <c r="C50" s="115" t="inlineStr">
        <is>
          <t>(sum) — quoted $3,314</t>
        </is>
      </c>
      <c r="D50" s="113" t="inlineStr"/>
      <c r="E50" s="113" t="inlineStr"/>
    </row>
    <row r="52" ht="26" customHeight="1">
      <c r="A52" s="107" t="inlineStr">
        <is>
          <t>Section 5 — Validation queue</t>
        </is>
      </c>
    </row>
    <row r="53" ht="30" customHeight="1">
      <c r="A53" s="108" t="inlineStr">
        <is>
          <t>Open validation item</t>
        </is>
      </c>
      <c r="B53" s="118" t="n"/>
      <c r="C53" s="118" t="n"/>
      <c r="D53" s="118" t="n"/>
      <c r="E53" s="119" t="n"/>
    </row>
    <row r="54">
      <c r="A54" s="112" t="inlineStr">
        <is>
          <t>☐  Validate Stripe payment processing actual rate post-launch</t>
        </is>
      </c>
      <c r="B54" s="118" t="n"/>
      <c r="C54" s="118" t="n"/>
      <c r="D54" s="118" t="n"/>
      <c r="E54" s="119" t="n"/>
    </row>
    <row r="55">
      <c r="A55" s="112" t="inlineStr">
        <is>
          <t>☐  Validate customer support cost as we hire</t>
        </is>
      </c>
      <c r="B55" s="118" t="n"/>
      <c r="C55" s="118" t="n"/>
      <c r="D55" s="118" t="n"/>
      <c r="E55" s="119" t="n"/>
    </row>
    <row r="56">
      <c r="A56" s="112" t="inlineStr">
        <is>
          <t>☐  Validate refund cost from real data months 1-3</t>
        </is>
      </c>
      <c r="B56" s="118" t="n"/>
      <c r="C56" s="118" t="n"/>
      <c r="D56" s="118" t="n"/>
      <c r="E56" s="119" t="n"/>
    </row>
    <row r="57">
      <c r="A57" s="112" t="inlineStr">
        <is>
          <t>☐  Validate FX fee impact on non-USD purchases</t>
        </is>
      </c>
      <c r="B57" s="118" t="n"/>
      <c r="C57" s="118" t="n"/>
      <c r="D57" s="118" t="n"/>
      <c r="E57" s="119" t="n"/>
    </row>
    <row r="58">
      <c r="A58" s="112" t="inlineStr">
        <is>
          <t>☐  Validate marketing CAC after first campaign</t>
        </is>
      </c>
      <c r="B58" s="118" t="n"/>
      <c r="C58" s="118" t="n"/>
      <c r="D58" s="118" t="n"/>
      <c r="E58" s="119" t="n"/>
    </row>
    <row r="59">
      <c r="A59" s="112" t="inlineStr">
        <is>
          <t>☐  Validate insurance quote (currently estimate)</t>
        </is>
      </c>
      <c r="B59" s="118" t="n"/>
      <c r="C59" s="118" t="n"/>
      <c r="D59" s="118" t="n"/>
      <c r="E59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41" t="inlineStr">
        <is>
          <t>Notes</t>
        </is>
      </c>
    </row>
    <row r="15">
      <c r="A15" s="90" t="inlineStr">
        <is>
          <t>Pessimistic (low conversion)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39" t="inlineStr">
        <is>
          <t>Most users stay PAYG. Worst case for ARPU.</t>
        </is>
      </c>
    </row>
    <row r="16">
      <c r="A16" s="90" t="inlineStr">
        <is>
          <t>Early-stage (months 1-6)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39" t="inlineStr">
        <is>
          <t>Realistic launch period — heavy Economy mix.</t>
        </is>
      </c>
    </row>
    <row r="17">
      <c r="A17" s="93" t="inlineStr">
        <is>
          <t>Base / current model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77" t="inlineStr">
        <is>
          <t>Steady-state guess. CURRENT MODEL.</t>
        </is>
      </c>
    </row>
    <row r="18">
      <c r="A18" s="90" t="inlineStr">
        <is>
          <t>Optimistic (high conversion)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39" t="inlineStr">
        <is>
          <t>Strong subscription uptake.</t>
        </is>
      </c>
    </row>
    <row r="19">
      <c r="A19" s="90" t="inlineStr">
        <is>
          <t>Subscription-heavy (year 2+)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39" t="inlineStr">
        <is>
          <t>Mature population after Cockpit/First grow.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2026-06-01T12:34:08Z</dcterms:modified>
</cp:coreProperties>
</file>