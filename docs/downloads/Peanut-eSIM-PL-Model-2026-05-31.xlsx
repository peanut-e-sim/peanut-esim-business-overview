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36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</fonts>
  <fills count="19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Soft Launch (Emirates seed)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Multi-Airline (+ JAL + ANA)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  <c r="B10" s="134" t="n">
        <v>100000</v>
      </c>
      <c r="C10" s="135">
        <f>B10*SUMPRODUCT('Per-Tier Unit Economics'!I7:I13,'README &amp; Assumptions'!B36:B42)</f>
        <v/>
      </c>
      <c r="D10" s="135">
        <f>B10*SUMPRODUCT('Per-Tier Unit Economics'!J7:J13,'README &amp; Assumptions'!B36:B42)</f>
        <v/>
      </c>
      <c r="E10" s="135">
        <f>C10-D10</f>
        <v/>
      </c>
      <c r="F10" s="104">
        <f>IFERROR(E10/C10,0)</f>
        <v/>
      </c>
      <c r="G10" s="135">
        <f>B10*'README &amp; Assumptions'!B53</f>
        <v/>
      </c>
      <c r="H10" s="135">
        <f>E10-G10</f>
        <v/>
      </c>
      <c r="I10" s="104">
        <f>IFERROR(H10/C10,0)</f>
        <v/>
      </c>
      <c r="J10" s="135">
        <f>H10*12</f>
        <v/>
      </c>
    </row>
    <row r="11"/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 t="n">
        <v>3.65</v>
      </c>
      <c r="E15" s="86" t="n">
        <v>1825</v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 t="n">
        <v>13.6</v>
      </c>
      <c r="E16" s="86" t="n">
        <v>2448</v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 t="n">
        <v>13.35</v>
      </c>
      <c r="E17" s="86" t="n">
        <v>1736</v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 t="n">
        <v>21.84</v>
      </c>
      <c r="E18" s="86" t="n">
        <v>1747</v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 t="n">
        <v>23.33</v>
      </c>
      <c r="E19" s="86" t="n">
        <v>700</v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 t="n">
        <v>33</v>
      </c>
      <c r="E20" s="86" t="n">
        <v>660</v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 t="n">
        <v>15.8</v>
      </c>
      <c r="E21" s="86" t="n">
        <v>474</v>
      </c>
    </row>
    <row r="22">
      <c r="A22" s="43" t="inlineStr">
        <is>
          <t>TOTAL</t>
        </is>
      </c>
      <c r="C22" s="71" t="n">
        <v>1000</v>
      </c>
      <c r="D22" s="39" t="inlineStr">
        <is>
          <t>Monthly Gross Profit →</t>
        </is>
      </c>
      <c r="E22" s="87" t="n">
        <v>9590</v>
      </c>
    </row>
    <row r="23"/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128" t="n">
        <v>9590</v>
      </c>
    </row>
    <row r="26">
      <c r="A26" s="90" t="inlineStr">
        <is>
          <t>OPEX (1,000 users × $1.80)</t>
        </is>
      </c>
      <c r="B26" s="128" t="n">
        <v>-1800</v>
      </c>
    </row>
    <row r="27">
      <c r="A27" s="90" t="inlineStr">
        <is>
          <t>Monthly Net Profit</t>
        </is>
      </c>
      <c r="B27" s="129" t="n">
        <v>7790</v>
      </c>
    </row>
    <row r="28">
      <c r="A28" s="90" t="inlineStr">
        <is>
          <t>Annual Net Profit</t>
        </is>
      </c>
      <c r="B28" s="129" t="n">
        <v>93480</v>
      </c>
    </row>
    <row r="29"/>
    <row r="30">
      <c r="A30" s="130" t="inlineStr">
        <is>
          <t>Bottom line: 1,000 users → $93,480/year. Scale to 10,000 → ~$935K/year. Scale to 100K → ~$9.35M/year.</t>
        </is>
      </c>
    </row>
  </sheetData>
  <mergeCells count="5">
    <mergeCell ref="A22:J22"/>
    <mergeCell ref="A2:J2"/>
    <mergeCell ref="A10:J10"/>
    <mergeCell ref="A28:J28"/>
    <mergeCell ref="A11:J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9" t="inlineStr">
        <is>
          <t>Cockpit</t>
        </is>
      </c>
      <c r="B12" s="29" t="n">
        <v>0.006</v>
      </c>
      <c r="C12" s="20">
        <f>IFERROR(1/B12,0)</f>
        <v/>
      </c>
      <c r="D12" s="14" t="inlineStr">
        <is>
          <t>Annual prepay = automatic 12-mo retention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8" t="inlineStr">
        <is>
          <t>CUSTOMER ACQUISITION COST (per-channel blended avg)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9" t="inlineStr">
        <is>
          <t>Organic / word-of-mouth</t>
        </is>
      </c>
      <c r="B18" s="13" t="n">
        <v>0.5</v>
      </c>
      <c r="C18" s="28" t="n">
        <v>0</v>
      </c>
      <c r="D18" s="14" t="inlineStr">
        <is>
          <t>Crew network referrals — free</t>
        </is>
      </c>
    </row>
    <row r="19">
      <c r="A19" s="9" t="inlineStr">
        <is>
          <t>Referral bonus ($5 credit)</t>
        </is>
      </c>
      <c r="B19" s="13" t="n">
        <v>0.25</v>
      </c>
      <c r="C19" s="28" t="n">
        <v>5</v>
      </c>
      <c r="D19" s="14" t="inlineStr">
        <is>
          <t>Existing user refers</t>
        </is>
      </c>
    </row>
    <row r="20">
      <c r="A20" s="9" t="inlineStr">
        <is>
          <t>Paid social (IG/TikTok)</t>
        </is>
      </c>
      <c r="B20" s="13" t="n">
        <v>0.15</v>
      </c>
      <c r="C20" s="28" t="n">
        <v>12</v>
      </c>
      <c r="D20" s="14" t="inlineStr">
        <is>
          <t>Cold acquisition</t>
        </is>
      </c>
    </row>
    <row r="21">
      <c r="A21" t="inlineStr">
        <is>
          <t>Influencer / crew creator</t>
        </is>
      </c>
      <c r="B21" t="n">
        <v>0.1</v>
      </c>
      <c r="C21" t="n">
        <v>8</v>
      </c>
      <c r="D21" t="inlineStr">
        <is>
          <t>Paid sponsorship to @crew_illust et al</t>
        </is>
      </c>
    </row>
    <row r="22">
      <c r="A22" s="9" t="n"/>
      <c r="C22" s="11" t="n"/>
    </row>
    <row r="23">
      <c r="A23" t="inlineStr">
        <is>
          <t>BLENDED CAC</t>
        </is>
      </c>
      <c r="C23">
        <f>SUMPRODUCT(B18:B21,C18:C21)</f>
        <v/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2026-06-01T14:50:18Z</dcterms:modified>
</cp:coreProperties>
</file>