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Assumptions" sheetId="1" state="visible" r:id="rId1"/>
    <sheet xmlns:r="http://schemas.openxmlformats.org/officeDocument/2006/relationships" name="User Behavior" sheetId="2" state="visible" r:id="rId2"/>
    <sheet xmlns:r="http://schemas.openxmlformats.org/officeDocument/2006/relationships" name="Per-Tier Unit Economics" sheetId="3" state="visible" r:id="rId3"/>
    <sheet xmlns:r="http://schemas.openxmlformats.org/officeDocument/2006/relationships" name="Volume Scenarios" sheetId="4" state="visible" r:id="rId4"/>
    <sheet xmlns:r="http://schemas.openxmlformats.org/officeDocument/2006/relationships" name="Procurement Options" sheetId="5" state="visible" r:id="rId5"/>
    <sheet xmlns:r="http://schemas.openxmlformats.org/officeDocument/2006/relationships" name="24-Month Rollout" sheetId="6" state="visible" r:id="rId6"/>
    <sheet xmlns:r="http://schemas.openxmlformats.org/officeDocument/2006/relationships" name="Behavior Sensitivity" sheetId="7" state="visible" r:id="rId7"/>
    <sheet xmlns:r="http://schemas.openxmlformats.org/officeDocument/2006/relationships" name="LTV-CAC + Churn" sheetId="8" state="visible" r:id="rId8"/>
    <sheet xmlns:r="http://schemas.openxmlformats.org/officeDocument/2006/relationships" name="Per-Tier Geo Mix" sheetId="9" state="visible" r:id="rId9"/>
    <sheet xmlns:r="http://schemas.openxmlformats.org/officeDocument/2006/relationships" name="Carryover Liability" sheetId="10" state="visible" r:id="rId10"/>
    <sheet xmlns:r="http://schemas.openxmlformats.org/officeDocument/2006/relationships" name="Strategic Scenarios" sheetId="11" state="visible" r:id="rId11"/>
    <sheet xmlns:r="http://schemas.openxmlformats.org/officeDocument/2006/relationships" name="Cash + Sensitiv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0.0%"/>
    <numFmt numFmtId="166" formatCode="0.0"/>
    <numFmt numFmtId="167" formatCode="$#,##0"/>
    <numFmt numFmtId="168" formatCode="0.0&quot;x&quot;"/>
    <numFmt numFmtId="169" formatCode="$#,##0.00;[Red]-$#,##0.00"/>
    <numFmt numFmtId="170" formatCode="0&quot;x&quot;"/>
    <numFmt numFmtId="171" formatCode="$#,##0;[Red]-$#,##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i val="1"/>
      <color rgb="00595959"/>
      <sz val="10"/>
    </font>
    <font>
      <name val="Arial"/>
      <b val="1"/>
      <color rgb="00D71921"/>
      <sz val="11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sz val="10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D719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164" fontId="4" fillId="2" borderId="0" pivotButton="0" quotePrefix="0" xfId="0"/>
    <xf numFmtId="164" fontId="5" fillId="0" borderId="0" pivotButton="0" quotePrefix="0" xfId="0"/>
    <xf numFmtId="0" fontId="4" fillId="2" borderId="0" pivotButton="0" quotePrefix="0" xfId="0"/>
    <xf numFmtId="9" fontId="4" fillId="2" borderId="0" pivotButton="0" quotePrefix="0" xfId="0"/>
    <xf numFmtId="0" fontId="9" fillId="0" borderId="0" pivotButton="0" quotePrefix="0" xfId="0"/>
    <xf numFmtId="0" fontId="7" fillId="3" borderId="0" pivotButton="0" quotePrefix="0" xfId="0"/>
    <xf numFmtId="9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3" fontId="4" fillId="2" borderId="0" pivotButton="0" quotePrefix="0" xfId="0"/>
    <xf numFmtId="167" fontId="5" fillId="0" borderId="0" pivotButton="0" quotePrefix="0" xfId="0"/>
    <xf numFmtId="167" fontId="8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7" fontId="4" fillId="2" borderId="0" pivotButton="0" quotePrefix="0" xfId="0"/>
    <xf numFmtId="165" fontId="4" fillId="2" borderId="0" pivotButton="0" quotePrefix="0" xfId="0"/>
    <xf numFmtId="168" fontId="8" fillId="0" borderId="0" pivotButton="0" quotePrefix="0" xfId="0"/>
    <xf numFmtId="169" fontId="5" fillId="0" borderId="0" pivotButton="0" quotePrefix="0" xfId="0"/>
    <xf numFmtId="9" fontId="6" fillId="0" borderId="0" pivotButton="0" quotePrefix="0" xfId="0"/>
    <xf numFmtId="166" fontId="8" fillId="0" borderId="0" pivotButton="0" quotePrefix="0" xfId="0"/>
    <xf numFmtId="170" fontId="4" fillId="2" borderId="0" pivotButton="0" quotePrefix="0" xfId="0"/>
    <xf numFmtId="169" fontId="8" fillId="0" borderId="0" pivotButton="0" quotePrefix="0" xfId="0"/>
    <xf numFmtId="171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14" customWidth="1" min="5" max="5"/>
    <col width="38" customWidth="1" min="6" max="6"/>
  </cols>
  <sheetData>
    <row r="1">
      <c r="A1" s="1" t="inlineStr">
        <is>
          <t>Peanut eSIM — P&amp;L Model v2</t>
        </is>
      </c>
    </row>
    <row r="2">
      <c r="A2" s="2" t="inlineStr">
        <is>
          <t>Built 2026-05-31. Pay-per-order assumption: COGS = actual GB consumed (not pool size). All yellow cells = editable inputs.</t>
        </is>
      </c>
    </row>
    <row r="4">
      <c r="A4" s="3" t="inlineStr">
        <is>
          <t>COLOR KEY</t>
        </is>
      </c>
    </row>
    <row r="5">
      <c r="A5" s="4" t="inlineStr">
        <is>
          <t>Blue</t>
        </is>
      </c>
      <c r="B5" t="inlineStr">
        <is>
          <t>Hardcoded input — change at will</t>
        </is>
      </c>
    </row>
    <row r="6">
      <c r="A6" s="5" t="inlineStr">
        <is>
          <t>Black</t>
        </is>
      </c>
      <c r="B6" t="inlineStr">
        <is>
          <t>Formula — do not edit</t>
        </is>
      </c>
    </row>
    <row r="7">
      <c r="A7" s="6" t="inlineStr">
        <is>
          <t>Green</t>
        </is>
      </c>
      <c r="B7" t="inlineStr">
        <is>
          <t>Cross-sheet reference</t>
        </is>
      </c>
    </row>
    <row r="8">
      <c r="A8" s="7" t="inlineStr">
        <is>
          <t>Yellow cell</t>
        </is>
      </c>
      <c r="B8" t="inlineStr">
        <is>
          <t>Key assumption — review before pitching</t>
        </is>
      </c>
    </row>
    <row r="10">
      <c r="A10" s="3" t="inlineStr">
        <is>
          <t>KEY ASSUMPTIONS (the things that drive every other number)</t>
        </is>
      </c>
    </row>
    <row r="12">
      <c r="A12" s="3" t="inlineStr">
        <is>
          <t>CABIN CLASS RETAIL PRICES</t>
        </is>
      </c>
    </row>
    <row r="13">
      <c r="A13" s="8" t="inlineStr">
        <is>
          <t>Tier</t>
        </is>
      </c>
      <c r="B13" s="8" t="inlineStr">
        <is>
          <t>Monthly Retail</t>
        </is>
      </c>
      <c r="C13" s="8" t="inlineStr">
        <is>
          <t>Annualized</t>
        </is>
      </c>
      <c r="D13" s="8" t="inlineStr">
        <is>
          <t>GB Pool</t>
        </is>
      </c>
      <c r="E13" s="8" t="inlineStr">
        <is>
          <t>Carry-over %</t>
        </is>
      </c>
      <c r="F13" s="8" t="inlineStr">
        <is>
          <t>Notes</t>
        </is>
      </c>
    </row>
    <row r="14">
      <c r="A14" s="9" t="inlineStr">
        <is>
          <t>Economy (pay-per-trip)</t>
        </is>
      </c>
      <c r="B14" s="10" t="n">
        <v>4.99</v>
      </c>
      <c r="C14" s="11">
        <f>B14*12</f>
        <v/>
      </c>
      <c r="D14" s="12" t="n">
        <v>1</v>
      </c>
      <c r="E14" s="13" t="n">
        <v>0</v>
      </c>
      <c r="F14" s="14" t="inlineStr">
        <is>
          <t>Avg per trip · 1GB/1-day · no carry</t>
        </is>
      </c>
    </row>
    <row r="15">
      <c r="A15" s="9" t="inlineStr">
        <is>
          <t>Roster Bundle</t>
        </is>
      </c>
      <c r="B15" s="10" t="n">
        <v>39.99</v>
      </c>
      <c r="C15" s="11">
        <f>B15*12</f>
        <v/>
      </c>
      <c r="D15" s="12" t="n">
        <v>10</v>
      </c>
      <c r="E15" s="13" t="n">
        <v>0.5</v>
      </c>
      <c r="F15" s="14" t="inlineStr">
        <is>
          <t>10GB pool · 50% carry</t>
        </is>
      </c>
    </row>
    <row r="16">
      <c r="A16" s="9" t="inlineStr">
        <is>
          <t>Premium Economy</t>
        </is>
      </c>
      <c r="B16" s="10" t="n">
        <v>12.99</v>
      </c>
      <c r="C16" s="11">
        <f>B16*12</f>
        <v/>
      </c>
      <c r="D16" s="12" t="n">
        <v>15</v>
      </c>
      <c r="E16" s="13" t="n">
        <v>0.7</v>
      </c>
      <c r="F16" s="14" t="inlineStr">
        <is>
          <t>15GB pool · 70% carry · 1 oops · RECOMMENDED</t>
        </is>
      </c>
    </row>
    <row r="17">
      <c r="A17" s="9" t="inlineStr">
        <is>
          <t>Business</t>
        </is>
      </c>
      <c r="B17" s="10" t="n">
        <v>24.99</v>
      </c>
      <c r="C17" s="11">
        <f>B17*12</f>
        <v/>
      </c>
      <c r="D17" s="12" t="n">
        <v>8</v>
      </c>
      <c r="E17" s="13" t="n">
        <v>1</v>
      </c>
      <c r="F17" s="14" t="inlineStr">
        <is>
          <t>20GB pool · 100% carry × 2 months max · 2 oops</t>
        </is>
      </c>
    </row>
    <row r="18">
      <c r="A18" s="9" t="inlineStr">
        <is>
          <t>First</t>
        </is>
      </c>
      <c r="B18" s="10" t="n">
        <v>49.99</v>
      </c>
      <c r="C18" s="11">
        <f>B18*12</f>
        <v/>
      </c>
      <c r="D18" s="12" t="n">
        <v>12</v>
      </c>
      <c r="E18" s="13" t="n">
        <v>0.8</v>
      </c>
      <c r="F18" s="14" t="inlineStr">
        <is>
          <t>$299/yr · 12GB pool + 12GB lifetime emergency bank · 100% carry</t>
        </is>
      </c>
    </row>
    <row r="19">
      <c r="A19" s="9" t="inlineStr">
        <is>
          <t>Cockpit Annual</t>
        </is>
      </c>
      <c r="B19" s="10" t="n">
        <v>24.92</v>
      </c>
      <c r="C19" s="10" t="n">
        <v>299</v>
      </c>
      <c r="D19" s="12" t="n">
        <v>30</v>
      </c>
      <c r="E19" s="13" t="n">
        <v>1</v>
      </c>
      <c r="F19" s="14" t="inlineStr">
        <is>
          <t>$299/yr · unlimited carry</t>
        </is>
      </c>
    </row>
    <row r="20">
      <c r="A20" s="9" t="inlineStr">
        <is>
          <t>Refuel (add-on)</t>
        </is>
      </c>
      <c r="B20" s="10" t="n">
        <v>5.99</v>
      </c>
      <c r="C20" s="11">
        <f>B20*12</f>
        <v/>
      </c>
      <c r="D20" s="12" t="n">
        <v>1</v>
      </c>
      <c r="E20" s="13" t="n">
        <v>0</v>
      </c>
      <c r="F20" s="14" t="inlineStr">
        <is>
          <t>Avg top-up</t>
        </is>
      </c>
    </row>
    <row r="23">
      <c r="A23" s="3" t="inlineStr">
        <is>
          <t>GEO COST BUCKETS (1GB / 1-day eSIM wholesale)</t>
        </is>
      </c>
    </row>
    <row r="24">
      <c r="A24" s="8" t="inlineStr">
        <is>
          <t>Bucket</t>
        </is>
      </c>
      <c r="B24" s="8" t="inlineStr">
        <is>
          <t>Description</t>
        </is>
      </c>
      <c r="C24" s="8" t="inlineStr">
        <is>
          <t>Cost USD</t>
        </is>
      </c>
      <c r="D24" s="8" t="inlineStr">
        <is>
          <t>% Mix</t>
        </is>
      </c>
    </row>
    <row r="25">
      <c r="A25" s="9" t="inlineStr">
        <is>
          <t>Tier-A (cheap)</t>
        </is>
      </c>
      <c r="B25" s="14" t="inlineStr">
        <is>
          <t>JP, UK, SG, MY, HK, KR, US</t>
        </is>
      </c>
      <c r="C25" s="10" t="n">
        <v>0.97</v>
      </c>
      <c r="D25" s="13" t="n">
        <v>0.6</v>
      </c>
    </row>
    <row r="26">
      <c r="A26" s="9" t="inlineStr">
        <is>
          <t>Tier-B (medium)</t>
        </is>
      </c>
      <c r="B26" s="14" t="inlineStr">
        <is>
          <t>CA, AU, NZ, VN, UAE</t>
        </is>
      </c>
      <c r="C26" s="10" t="n">
        <v>1.5</v>
      </c>
      <c r="D26" s="13" t="n">
        <v>0.25</v>
      </c>
    </row>
    <row r="27">
      <c r="A27" s="9" t="inlineStr">
        <is>
          <t>Tier-C (expensive)</t>
        </is>
      </c>
      <c r="B27" s="14" t="inlineStr">
        <is>
          <t>IN, BR, SA, ZA</t>
        </is>
      </c>
      <c r="C27" s="10" t="n">
        <v>5.8</v>
      </c>
      <c r="D27" s="13" t="n">
        <v>0.15</v>
      </c>
    </row>
    <row r="29">
      <c r="A29" s="9" t="inlineStr">
        <is>
          <t>BLENDED COST / GB</t>
        </is>
      </c>
      <c r="C29" s="11">
        <f>SUMPRODUCT(C25:C27,D25:D27)</f>
        <v/>
      </c>
    </row>
    <row r="32">
      <c r="A32" s="3" t="inlineStr">
        <is>
          <t>CABIN-CLASS MIX (% of paying users in each tier)</t>
        </is>
      </c>
    </row>
    <row r="33">
      <c r="A33" s="15" t="inlineStr">
        <is>
          <t>Tier</t>
        </is>
      </c>
      <c r="B33" s="15" t="inlineStr">
        <is>
          <t>% Users</t>
        </is>
      </c>
    </row>
    <row r="34">
      <c r="A34" s="9" t="inlineStr">
        <is>
          <t>Economy</t>
        </is>
      </c>
      <c r="B34" s="13" t="n">
        <v>0.3</v>
      </c>
    </row>
    <row r="35">
      <c r="A35" s="9" t="inlineStr">
        <is>
          <t>Roster Bundle</t>
        </is>
      </c>
      <c r="B35" s="13" t="n">
        <v>0.35</v>
      </c>
    </row>
    <row r="36">
      <c r="A36" s="9" t="inlineStr">
        <is>
          <t>Premium Economy</t>
        </is>
      </c>
      <c r="B36" s="13" t="n">
        <v>0.15</v>
      </c>
    </row>
    <row r="37">
      <c r="A37" s="9" t="inlineStr">
        <is>
          <t>Business</t>
        </is>
      </c>
      <c r="B37" s="13" t="n">
        <v>0.12</v>
      </c>
    </row>
    <row r="38">
      <c r="A38" s="9" t="inlineStr">
        <is>
          <t>First</t>
        </is>
      </c>
      <c r="B38" s="13" t="n">
        <v>0.05</v>
      </c>
    </row>
    <row r="39">
      <c r="A39" s="9" t="inlineStr">
        <is>
          <t>Cockpit</t>
        </is>
      </c>
      <c r="B39" s="13" t="n">
        <v>0.02</v>
      </c>
    </row>
    <row r="40">
      <c r="A40" s="9" t="inlineStr">
        <is>
          <t>Refuel attach</t>
        </is>
      </c>
      <c r="B40" s="13" t="n">
        <v>0.1</v>
      </c>
    </row>
    <row r="43">
      <c r="A43" s="3" t="inlineStr">
        <is>
          <t>OPERATING COST / USER / MONTH</t>
        </is>
      </c>
    </row>
    <row r="44">
      <c r="A44" s="15" t="inlineStr">
        <is>
          <t>Line</t>
        </is>
      </c>
      <c r="B44" s="15" t="inlineStr">
        <is>
          <t>USD</t>
        </is>
      </c>
    </row>
    <row r="45">
      <c r="A45" t="inlineStr">
        <is>
          <t>Cloud / API per user</t>
        </is>
      </c>
      <c r="B45" s="10" t="n">
        <v>0.15</v>
      </c>
    </row>
    <row r="46">
      <c r="A46" t="inlineStr">
        <is>
          <t>Payment processing (2.9% + $0.30)</t>
        </is>
      </c>
      <c r="B46" s="10" t="n">
        <v>0.5</v>
      </c>
    </row>
    <row r="47">
      <c r="A47" t="inlineStr">
        <is>
          <t>Customer support amortized</t>
        </is>
      </c>
      <c r="B47" s="10" t="n">
        <v>0.3</v>
      </c>
    </row>
    <row r="48">
      <c r="A48" t="inlineStr">
        <is>
          <t>SMS / OTP / verification</t>
        </is>
      </c>
      <c r="B48" s="10" t="n">
        <v>0.05</v>
      </c>
    </row>
    <row r="49">
      <c r="A49" t="inlineStr">
        <is>
          <t>Hosting + dev tools amortized</t>
        </is>
      </c>
      <c r="B49" s="10" t="n">
        <v>0.1</v>
      </c>
    </row>
    <row r="50">
      <c r="A50" s="9" t="inlineStr">
        <is>
          <t>TOTAL OPEX</t>
        </is>
      </c>
      <c r="B50" s="11">
        <f>SUM(B45:B49)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22" customWidth="1" min="5" max="5"/>
    <col width="28" customWidth="1" min="6" max="6"/>
  </cols>
  <sheetData>
    <row r="1">
      <c r="A1" s="1" t="inlineStr">
        <is>
          <t>User Behavior Profiles — % of pool consumed by user type</t>
        </is>
      </c>
    </row>
    <row r="2">
      <c r="A2" s="2" t="inlineStr">
        <is>
          <t>For each tier, model 4 user types. % of pool consumed determines COGS in pay-per-order model.</t>
        </is>
      </c>
    </row>
    <row r="4">
      <c r="A4" s="3" t="inlineStr">
        <is>
          <t>BEHAVIOR PROFILES (apply to all tiers)</t>
        </is>
      </c>
    </row>
    <row r="5">
      <c r="A5" s="8" t="inlineStr">
        <is>
          <t>Profile</t>
        </is>
      </c>
      <c r="B5" s="8" t="inlineStr">
        <is>
          <t>% of Users</t>
        </is>
      </c>
      <c r="C5" s="8" t="inlineStr">
        <is>
          <t>% of Pool Consumed</t>
        </is>
      </c>
      <c r="D5" s="8" t="inlineStr">
        <is>
          <t>Refuel Attach Rate</t>
        </is>
      </c>
      <c r="E5" s="8" t="inlineStr">
        <is>
          <t>Notes</t>
        </is>
      </c>
    </row>
    <row r="6">
      <c r="A6" s="9" t="inlineStr">
        <is>
          <t>Light user</t>
        </is>
      </c>
      <c r="B6" s="13" t="n">
        <v>0.4</v>
      </c>
      <c r="C6" s="13" t="n">
        <v>0.3</v>
      </c>
      <c r="D6" s="13" t="n">
        <v>0.05</v>
      </c>
      <c r="E6" s="14" t="inlineStr">
        <is>
          <t>Subscribes for peace-of-mind, barely uses pool</t>
        </is>
      </c>
    </row>
    <row r="7">
      <c r="A7" s="9" t="inlineStr">
        <is>
          <t>Average user</t>
        </is>
      </c>
      <c r="B7" s="13" t="n">
        <v>0.35</v>
      </c>
      <c r="C7" s="13" t="n">
        <v>0.65</v>
      </c>
      <c r="D7" s="13" t="n">
        <v>0.15</v>
      </c>
      <c r="E7" s="14" t="inlineStr">
        <is>
          <t>Normal consumption, occasionally over</t>
        </is>
      </c>
    </row>
    <row r="8">
      <c r="A8" s="9" t="inlineStr">
        <is>
          <t>Heavy user</t>
        </is>
      </c>
      <c r="B8" s="13" t="n">
        <v>0.2</v>
      </c>
      <c r="C8" s="13" t="n">
        <v>0.95</v>
      </c>
      <c r="D8" s="13" t="n">
        <v>0.5</v>
      </c>
      <c r="E8" s="14" t="inlineStr">
        <is>
          <t>Power user, often refuels</t>
        </is>
      </c>
    </row>
    <row r="9">
      <c r="A9" s="9" t="inlineStr">
        <is>
          <t>Churner</t>
        </is>
      </c>
      <c r="B9" s="13" t="n">
        <v>0.05</v>
      </c>
      <c r="C9" s="13" t="n">
        <v>0.1</v>
      </c>
      <c r="D9" s="13" t="n">
        <v>0</v>
      </c>
      <c r="E9" s="14" t="inlineStr">
        <is>
          <t>Tries one month, cancels — pure breakage</t>
        </is>
      </c>
    </row>
    <row r="10">
      <c r="A10" s="9" t="inlineStr">
        <is>
          <t>TOTAL</t>
        </is>
      </c>
      <c r="B10" s="16">
        <f>SUM(B6:B9)</f>
        <v/>
      </c>
    </row>
    <row r="11">
      <c r="A11" s="9" t="inlineStr">
        <is>
          <t>WEIGHTED AVG % POOL CONSUMED</t>
        </is>
      </c>
      <c r="C11" s="17">
        <f>SUMPRODUCT(B6:B9,C6:C9)</f>
        <v/>
      </c>
    </row>
    <row r="12">
      <c r="A12" s="9" t="inlineStr">
        <is>
          <t>WEIGHTED AVG REFUEL ATTACH</t>
        </is>
      </c>
      <c r="D12" s="17">
        <f>SUMPRODUCT(B6:B9,D6:D9)</f>
        <v/>
      </c>
    </row>
    <row r="15">
      <c r="A15" s="3" t="inlineStr">
        <is>
          <t>EXPECTED GB CONSUMED PER USER PER MONTH (by tier)</t>
        </is>
      </c>
    </row>
    <row r="16">
      <c r="A16" s="8" t="inlineStr">
        <is>
          <t>Tier</t>
        </is>
      </c>
      <c r="B16" s="8" t="inlineStr">
        <is>
          <t>Pool GB</t>
        </is>
      </c>
      <c r="C16" s="8" t="inlineStr">
        <is>
          <t>% Consumed</t>
        </is>
      </c>
      <c r="D16" s="8" t="inlineStr">
        <is>
          <t>GB Consumed</t>
        </is>
      </c>
      <c r="E16" s="8" t="inlineStr">
        <is>
          <t>GB Unused (carries)</t>
        </is>
      </c>
      <c r="F16" s="8" t="inlineStr">
        <is>
          <t>GB Truly Unused (breakage)</t>
        </is>
      </c>
    </row>
    <row r="17">
      <c r="A17" s="9" t="inlineStr">
        <is>
          <t>Economy</t>
        </is>
      </c>
      <c r="B17" s="18">
        <f>'README &amp; Assumptions'!D14</f>
        <v/>
      </c>
      <c r="C17" s="19">
        <f>$C$11</f>
        <v/>
      </c>
      <c r="D17" s="20">
        <f>B17*C17</f>
        <v/>
      </c>
      <c r="E17" s="20">
        <f>(B17-D17)*'README &amp; Assumptions'!E14</f>
        <v/>
      </c>
      <c r="F17" s="20">
        <f>(B17-D17)*(1-'README &amp; Assumptions'!E14)</f>
        <v/>
      </c>
    </row>
    <row r="18">
      <c r="A18" s="9" t="inlineStr">
        <is>
          <t>Roster Bundle</t>
        </is>
      </c>
      <c r="B18" s="18">
        <f>'README &amp; Assumptions'!D15</f>
        <v/>
      </c>
      <c r="C18" s="19">
        <f>$C$11</f>
        <v/>
      </c>
      <c r="D18" s="20">
        <f>B18*C18</f>
        <v/>
      </c>
      <c r="E18" s="20">
        <f>(B18-D18)*'README &amp; Assumptions'!E15</f>
        <v/>
      </c>
      <c r="F18" s="20">
        <f>(B18-D18)*(1-'README &amp; Assumptions'!E15)</f>
        <v/>
      </c>
    </row>
    <row r="19">
      <c r="A19" s="9" t="inlineStr">
        <is>
          <t>Premium Economy</t>
        </is>
      </c>
      <c r="B19" s="18">
        <f>'README &amp; Assumptions'!D16</f>
        <v/>
      </c>
      <c r="C19" s="19">
        <f>$C$11</f>
        <v/>
      </c>
      <c r="D19" s="20">
        <f>B19*C19</f>
        <v/>
      </c>
      <c r="E19" s="20">
        <f>(B19-D19)*'README &amp; Assumptions'!E16</f>
        <v/>
      </c>
      <c r="F19" s="20">
        <f>(B19-D19)*(1-'README &amp; Assumptions'!E16)</f>
        <v/>
      </c>
    </row>
    <row r="20">
      <c r="A20" s="9" t="inlineStr">
        <is>
          <t>Business</t>
        </is>
      </c>
      <c r="B20" s="18">
        <f>'README &amp; Assumptions'!D17</f>
        <v/>
      </c>
      <c r="C20" s="19">
        <f>$C$11</f>
        <v/>
      </c>
      <c r="D20" s="20">
        <f>B20*C20</f>
        <v/>
      </c>
      <c r="E20" s="20">
        <f>(B20-D20)*'README &amp; Assumptions'!E17</f>
        <v/>
      </c>
      <c r="F20" s="20">
        <f>(B20-D20)*(1-'README &amp; Assumptions'!E17)</f>
        <v/>
      </c>
    </row>
    <row r="21">
      <c r="A21" s="9" t="inlineStr">
        <is>
          <t>First</t>
        </is>
      </c>
      <c r="B21" s="18">
        <f>'README &amp; Assumptions'!D18</f>
        <v/>
      </c>
      <c r="C21" s="19">
        <f>$C$11</f>
        <v/>
      </c>
      <c r="D21" s="20">
        <f>B21*C21</f>
        <v/>
      </c>
      <c r="E21" s="20">
        <f>(B21-D21)*'README &amp; Assumptions'!E18</f>
        <v/>
      </c>
      <c r="F21" s="20">
        <f>(B21-D21)*(1-'README &amp; Assumptions'!E18)</f>
        <v/>
      </c>
    </row>
    <row r="22">
      <c r="A22" s="9" t="inlineStr">
        <is>
          <t>Cockpit</t>
        </is>
      </c>
      <c r="B22" s="18">
        <f>'README &amp; Assumptions'!D19</f>
        <v/>
      </c>
      <c r="C22" s="19">
        <f>$C$11</f>
        <v/>
      </c>
      <c r="D22" s="20">
        <f>B22*C22</f>
        <v/>
      </c>
      <c r="E22" s="20">
        <f>(B22-D22)*'README &amp; Assumptions'!E19</f>
        <v/>
      </c>
      <c r="F22" s="20">
        <f>(B22-D22)*(1-'README &amp; Assumptions'!E19)</f>
        <v/>
      </c>
    </row>
    <row r="23">
      <c r="A23" s="9" t="inlineStr">
        <is>
          <t>Refuel attach</t>
        </is>
      </c>
      <c r="B23" s="18">
        <f>'README &amp; Assumptions'!D20</f>
        <v/>
      </c>
      <c r="C23" s="19">
        <f>$C$11</f>
        <v/>
      </c>
      <c r="D23" s="20">
        <f>B23*C23</f>
        <v/>
      </c>
      <c r="E23" s="20">
        <f>(B23-D23)*'README &amp; Assumptions'!E20</f>
        <v/>
      </c>
      <c r="F23" s="20">
        <f>(B23-D23)*(1-'README &amp; Assumptions'!E20)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Per-Tier Unit Economics (PAY-PER-ORDER model)</t>
        </is>
      </c>
    </row>
    <row r="2">
      <c r="A2" s="2" t="inlineStr">
        <is>
          <t>COGS = actual GB consumed × wholesale cost. Unused GB that breaks is pure breakage revenue.</t>
        </is>
      </c>
    </row>
    <row r="4">
      <c r="A4" s="8" t="inlineStr">
        <is>
          <t>Tier</t>
        </is>
      </c>
      <c r="B4" s="8" t="inlineStr">
        <is>
          <t>Monthly Revenue</t>
        </is>
      </c>
      <c r="C4" s="8" t="inlineStr">
        <is>
          <t>GB Consumed</t>
        </is>
      </c>
      <c r="D4" s="8" t="inlineStr">
        <is>
          <t>Wholesale $/GB</t>
        </is>
      </c>
      <c r="E4" s="8" t="inlineStr">
        <is>
          <t>eSIM COGS</t>
        </is>
      </c>
      <c r="F4" s="8" t="inlineStr">
        <is>
          <t>Refuel Revenue</t>
        </is>
      </c>
      <c r="G4" s="8" t="inlineStr">
        <is>
          <t>Refuel COGS</t>
        </is>
      </c>
      <c r="H4" s="8" t="inlineStr">
        <is>
          <t>Refund Cost</t>
        </is>
      </c>
      <c r="I4" s="8" t="inlineStr">
        <is>
          <t>Gross Profit</t>
        </is>
      </c>
      <c r="J4" s="8" t="inlineStr">
        <is>
          <t>Gross Margin %</t>
        </is>
      </c>
      <c r="K4" s="8" t="inlineStr">
        <is>
          <t>After Opex</t>
        </is>
      </c>
      <c r="L4" s="8" t="inlineStr">
        <is>
          <t>Net Margin %</t>
        </is>
      </c>
    </row>
    <row r="5">
      <c r="A5" s="9" t="inlineStr">
        <is>
          <t>Economy</t>
        </is>
      </c>
      <c r="B5" s="21">
        <f>'README &amp; Assumptions'!B13</f>
        <v/>
      </c>
      <c r="C5" s="18">
        <f>'User Behavior'!D17</f>
        <v/>
      </c>
      <c r="D5" s="21">
        <f>'README &amp; Assumptions'!C29</f>
        <v/>
      </c>
      <c r="E5" s="11">
        <f>C5*D5</f>
        <v/>
      </c>
      <c r="F5" s="11">
        <f>5.99*'User Behavior'!D12</f>
        <v/>
      </c>
      <c r="G5" s="11">
        <f>D5*'User Behavior'!D12</f>
        <v/>
      </c>
      <c r="H5" s="11">
        <f>2.50*0.5*SUMPRODUCT('User Behavior'!B6:B9,'User Behavior'!C6:C9)/1</f>
        <v/>
      </c>
      <c r="I5" s="22">
        <f>B5+F5-E5-G5-H5</f>
        <v/>
      </c>
      <c r="J5" s="17">
        <f>IFERROR(I5/(B5+F5),0)</f>
        <v/>
      </c>
      <c r="K5" s="22">
        <f>I5-'README &amp; Assumptions'!B50</f>
        <v/>
      </c>
      <c r="L5" s="17">
        <f>IFERROR(K5/(B5+F5),0)</f>
        <v/>
      </c>
    </row>
    <row r="6">
      <c r="A6" s="9" t="inlineStr">
        <is>
          <t>Roster Bundle</t>
        </is>
      </c>
      <c r="B6" s="21">
        <f>'README &amp; Assumptions'!B14</f>
        <v/>
      </c>
      <c r="C6" s="18">
        <f>'User Behavior'!D18</f>
        <v/>
      </c>
      <c r="D6" s="21">
        <f>'README &amp; Assumptions'!C29</f>
        <v/>
      </c>
      <c r="E6" s="11">
        <f>C6*D6</f>
        <v/>
      </c>
      <c r="F6" s="11">
        <f>5.99*'User Behavior'!D12</f>
        <v/>
      </c>
      <c r="G6" s="11">
        <f>D6*'User Behavior'!D12</f>
        <v/>
      </c>
      <c r="H6" s="11">
        <f>2.50*0.5*SUMPRODUCT('User Behavior'!B6:B9,'User Behavior'!C6:C9)/1</f>
        <v/>
      </c>
      <c r="I6" s="22">
        <f>B6+F6-E6-G6-H6</f>
        <v/>
      </c>
      <c r="J6" s="17">
        <f>IFERROR(I6/(B6+F6),0)</f>
        <v/>
      </c>
      <c r="K6" s="22">
        <f>I6-'README &amp; Assumptions'!B50</f>
        <v/>
      </c>
      <c r="L6" s="17">
        <f>IFERROR(K6/(B6+F6),0)</f>
        <v/>
      </c>
    </row>
    <row r="7">
      <c r="A7" s="9" t="inlineStr">
        <is>
          <t>Premium Economy</t>
        </is>
      </c>
      <c r="B7" s="21">
        <f>'README &amp; Assumptions'!B15</f>
        <v/>
      </c>
      <c r="C7" s="18">
        <f>'User Behavior'!D19</f>
        <v/>
      </c>
      <c r="D7" s="21">
        <f>'README &amp; Assumptions'!C29</f>
        <v/>
      </c>
      <c r="E7" s="11">
        <f>C7*D7</f>
        <v/>
      </c>
      <c r="F7" s="11">
        <f>5.99*'User Behavior'!D12</f>
        <v/>
      </c>
      <c r="G7" s="11">
        <f>D7*'User Behavior'!D12</f>
        <v/>
      </c>
      <c r="H7" s="11">
        <f>2.50*0.5*SUMPRODUCT('User Behavior'!B6:B9,'User Behavior'!C6:C9)/1</f>
        <v/>
      </c>
      <c r="I7" s="22">
        <f>B7+F7-E7-G7-H7</f>
        <v/>
      </c>
      <c r="J7" s="17">
        <f>IFERROR(I7/(B7+F7),0)</f>
        <v/>
      </c>
      <c r="K7" s="22">
        <f>I7-'README &amp; Assumptions'!B50</f>
        <v/>
      </c>
      <c r="L7" s="17">
        <f>IFERROR(K7/(B7+F7),0)</f>
        <v/>
      </c>
    </row>
    <row r="8">
      <c r="A8" s="9" t="inlineStr">
        <is>
          <t>Business</t>
        </is>
      </c>
      <c r="B8" s="21">
        <f>'README &amp; Assumptions'!B16</f>
        <v/>
      </c>
      <c r="C8" s="18">
        <f>'User Behavior'!D20</f>
        <v/>
      </c>
      <c r="D8" s="21">
        <f>'README &amp; Assumptions'!C29</f>
        <v/>
      </c>
      <c r="E8" s="11">
        <f>C8*D8</f>
        <v/>
      </c>
      <c r="F8" s="11">
        <f>5.99*'User Behavior'!D12</f>
        <v/>
      </c>
      <c r="G8" s="11">
        <f>D8*'User Behavior'!D12</f>
        <v/>
      </c>
      <c r="H8" s="11">
        <f>2.50*0.5*SUMPRODUCT('User Behavior'!B6:B9,'User Behavior'!C6:C9)/1</f>
        <v/>
      </c>
      <c r="I8" s="22">
        <f>B8+F8-E8-G8-H8</f>
        <v/>
      </c>
      <c r="J8" s="17">
        <f>IFERROR(I8/(B8+F8),0)</f>
        <v/>
      </c>
      <c r="K8" s="22">
        <f>I8-'README &amp; Assumptions'!B50</f>
        <v/>
      </c>
      <c r="L8" s="17">
        <f>IFERROR(K8/(B8+F8),0)</f>
        <v/>
      </c>
    </row>
    <row r="9">
      <c r="A9" s="9" t="inlineStr">
        <is>
          <t>First</t>
        </is>
      </c>
      <c r="B9" s="21">
        <f>'README &amp; Assumptions'!B17</f>
        <v/>
      </c>
      <c r="C9" s="18">
        <f>'User Behavior'!D21</f>
        <v/>
      </c>
      <c r="D9" s="21">
        <f>'README &amp; Assumptions'!C29</f>
        <v/>
      </c>
      <c r="E9" s="11">
        <f>C9*D9</f>
        <v/>
      </c>
      <c r="F9" s="11">
        <f>5.99*'User Behavior'!D12</f>
        <v/>
      </c>
      <c r="G9" s="11">
        <f>D9*'User Behavior'!D12</f>
        <v/>
      </c>
      <c r="H9" s="11">
        <f>2.50*0.5*SUMPRODUCT('User Behavior'!B6:B9,'User Behavior'!C6:C9)/1</f>
        <v/>
      </c>
      <c r="I9" s="22">
        <f>B9+F9-E9-G9-H9</f>
        <v/>
      </c>
      <c r="J9" s="17">
        <f>IFERROR(I9/(B9+F9),0)</f>
        <v/>
      </c>
      <c r="K9" s="22">
        <f>I9-'README &amp; Assumptions'!B50</f>
        <v/>
      </c>
      <c r="L9" s="17">
        <f>IFERROR(K9/(B9+F9),0)</f>
        <v/>
      </c>
    </row>
    <row r="10">
      <c r="A10" s="9" t="inlineStr">
        <is>
          <t>Cockpit</t>
        </is>
      </c>
      <c r="B10" s="21">
        <f>'README &amp; Assumptions'!B18</f>
        <v/>
      </c>
      <c r="C10" s="18">
        <f>'User Behavior'!D22</f>
        <v/>
      </c>
      <c r="D10" s="21">
        <f>'README &amp; Assumptions'!C29</f>
        <v/>
      </c>
      <c r="E10" s="11">
        <f>C10*D10</f>
        <v/>
      </c>
      <c r="F10" s="11">
        <f>5.99*'User Behavior'!D12</f>
        <v/>
      </c>
      <c r="G10" s="11">
        <f>D10*'User Behavior'!D12</f>
        <v/>
      </c>
      <c r="H10" s="11">
        <f>2.50*0.5*SUMPRODUCT('User Behavior'!B6:B9,'User Behavior'!C6:C9)/1</f>
        <v/>
      </c>
      <c r="I10" s="22">
        <f>B10+F10-E10-G10-H10</f>
        <v/>
      </c>
      <c r="J10" s="17">
        <f>IFERROR(I10/(B10+F10),0)</f>
        <v/>
      </c>
      <c r="K10" s="22">
        <f>I10-'README &amp; Assumptions'!B50</f>
        <v/>
      </c>
      <c r="L10" s="17">
        <f>IFERROR(K10/(B10+F10),0)</f>
        <v/>
      </c>
    </row>
    <row r="11">
      <c r="A11" s="9" t="inlineStr">
        <is>
          <t>Refuel attach</t>
        </is>
      </c>
      <c r="B11" s="21">
        <f>'README &amp; Assumptions'!B19</f>
        <v/>
      </c>
      <c r="C11" s="18">
        <f>'User Behavior'!D23</f>
        <v/>
      </c>
      <c r="D11" s="21">
        <f>'README &amp; Assumptions'!C29</f>
        <v/>
      </c>
      <c r="E11" s="11">
        <f>C11*D11</f>
        <v/>
      </c>
      <c r="F11" s="11">
        <f>5.99*'User Behavior'!D12</f>
        <v/>
      </c>
      <c r="G11" s="11">
        <f>D11*'User Behavior'!D12</f>
        <v/>
      </c>
      <c r="H11" s="11">
        <f>2.50*0.5*SUMPRODUCT('User Behavior'!B6:B9,'User Behavior'!C6:C9)/1</f>
        <v/>
      </c>
      <c r="I11" s="22">
        <f>B11+F11-E11-G11-H11</f>
        <v/>
      </c>
      <c r="J11" s="17">
        <f>IFERROR(I11/(B11+F11),0)</f>
        <v/>
      </c>
      <c r="K11" s="22">
        <f>I11-'README &amp; Assumptions'!B50</f>
        <v/>
      </c>
      <c r="L11" s="17">
        <f>IFERROR(K11/(B11+F11),0)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Monthly P&amp;L across 4 scale scenarios</t>
        </is>
      </c>
    </row>
    <row r="4">
      <c r="A4" s="8" t="inlineStr">
        <is>
          <t>Scenario</t>
        </is>
      </c>
      <c r="B4" s="8" t="inlineStr">
        <is>
          <t>Active Users</t>
        </is>
      </c>
      <c r="C4" s="8" t="inlineStr">
        <is>
          <t>Monthly Revenue</t>
        </is>
      </c>
      <c r="D4" s="8" t="inlineStr">
        <is>
          <t>Monthly COGS</t>
        </is>
      </c>
      <c r="E4" s="8" t="inlineStr">
        <is>
          <t>Monthly Gross Profit</t>
        </is>
      </c>
      <c r="F4" s="8" t="inlineStr">
        <is>
          <t>Gross Margin %</t>
        </is>
      </c>
      <c r="G4" s="8" t="inlineStr">
        <is>
          <t>Monthly Opex</t>
        </is>
      </c>
      <c r="H4" s="8" t="inlineStr">
        <is>
          <t>Monthly Net Profit</t>
        </is>
      </c>
      <c r="I4" s="8" t="inlineStr">
        <is>
          <t>Net Margin %</t>
        </is>
      </c>
      <c r="J4" s="8" t="inlineStr">
        <is>
          <t>Annual Net</t>
        </is>
      </c>
    </row>
    <row r="5">
      <c r="A5" s="9" t="inlineStr">
        <is>
          <t>Conservative</t>
        </is>
      </c>
      <c r="B5" s="23" t="n">
        <v>100</v>
      </c>
      <c r="C5" s="24">
        <f>B5*SUMPRODUCT('Per-Tier Unit Economics'!B5:B11+'Per-Tier Unit Economics'!F5:F11,'README &amp; Assumptions'!B34:B40)</f>
        <v/>
      </c>
      <c r="D5" s="24">
        <f>B5*SUMPRODUCT('Per-Tier Unit Economics'!E5:E11+'Per-Tier Unit Economics'!G5:G11+'Per-Tier Unit Economics'!H5:H11,'README &amp; Assumptions'!B34:B40)</f>
        <v/>
      </c>
      <c r="E5" s="25">
        <f>C5-D5</f>
        <v/>
      </c>
      <c r="F5" s="26">
        <f>IFERROR(E5/C5,0)</f>
        <v/>
      </c>
      <c r="G5" s="27">
        <f>B5*'README &amp; Assumptions'!B50</f>
        <v/>
      </c>
      <c r="H5" s="25">
        <f>E5-G5</f>
        <v/>
      </c>
      <c r="I5" s="26">
        <f>IFERROR(H5/C5,0)</f>
        <v/>
      </c>
      <c r="J5" s="25">
        <f>H5*12</f>
        <v/>
      </c>
    </row>
    <row r="6">
      <c r="A6" s="9" t="inlineStr">
        <is>
          <t>Base</t>
        </is>
      </c>
      <c r="B6" s="23" t="n">
        <v>1000</v>
      </c>
      <c r="C6" s="24">
        <f>B6*SUMPRODUCT('Per-Tier Unit Economics'!B5:B11+'Per-Tier Unit Economics'!F5:F11,'README &amp; Assumptions'!B34:B40)</f>
        <v/>
      </c>
      <c r="D6" s="24">
        <f>B6*SUMPRODUCT('Per-Tier Unit Economics'!E5:E11+'Per-Tier Unit Economics'!G5:G11+'Per-Tier Unit Economics'!H5:H11,'README &amp; Assumptions'!B34:B40)</f>
        <v/>
      </c>
      <c r="E6" s="25">
        <f>C6-D6</f>
        <v/>
      </c>
      <c r="F6" s="26">
        <f>IFERROR(E6/C6,0)</f>
        <v/>
      </c>
      <c r="G6" s="27">
        <f>B6*'README &amp; Assumptions'!B50</f>
        <v/>
      </c>
      <c r="H6" s="25">
        <f>E6-G6</f>
        <v/>
      </c>
      <c r="I6" s="26">
        <f>IFERROR(H6/C6,0)</f>
        <v/>
      </c>
      <c r="J6" s="25">
        <f>H6*12</f>
        <v/>
      </c>
    </row>
    <row r="7">
      <c r="A7" s="9" t="inlineStr">
        <is>
          <t>Aggressive</t>
        </is>
      </c>
      <c r="B7" s="23" t="n">
        <v>5000</v>
      </c>
      <c r="C7" s="24">
        <f>B7*SUMPRODUCT('Per-Tier Unit Economics'!B5:B11+'Per-Tier Unit Economics'!F5:F11,'README &amp; Assumptions'!B34:B40)</f>
        <v/>
      </c>
      <c r="D7" s="24">
        <f>B7*SUMPRODUCT('Per-Tier Unit Economics'!E5:E11+'Per-Tier Unit Economics'!G5:G11+'Per-Tier Unit Economics'!H5:H11,'README &amp; Assumptions'!B34:B40)</f>
        <v/>
      </c>
      <c r="E7" s="25">
        <f>C7-D7</f>
        <v/>
      </c>
      <c r="F7" s="26">
        <f>IFERROR(E7/C7,0)</f>
        <v/>
      </c>
      <c r="G7" s="27">
        <f>B7*'README &amp; Assumptions'!B50</f>
        <v/>
      </c>
      <c r="H7" s="25">
        <f>E7-G7</f>
        <v/>
      </c>
      <c r="I7" s="26">
        <f>IFERROR(H7/C7,0)</f>
        <v/>
      </c>
      <c r="J7" s="25">
        <f>H7*12</f>
        <v/>
      </c>
    </row>
    <row r="8">
      <c r="A8" s="9" t="inlineStr">
        <is>
          <t>Hockey Stick</t>
        </is>
      </c>
      <c r="B8" s="23" t="n">
        <v>20000</v>
      </c>
      <c r="C8" s="24">
        <f>B8*SUMPRODUCT('Per-Tier Unit Economics'!B5:B11+'Per-Tier Unit Economics'!F5:F11,'README &amp; Assumptions'!B34:B40)</f>
        <v/>
      </c>
      <c r="D8" s="24">
        <f>B8*SUMPRODUCT('Per-Tier Unit Economics'!E5:E11+'Per-Tier Unit Economics'!G5:G11+'Per-Tier Unit Economics'!H5:H11,'README &amp; Assumptions'!B34:B40)</f>
        <v/>
      </c>
      <c r="E8" s="25">
        <f>C8-D8</f>
        <v/>
      </c>
      <c r="F8" s="26">
        <f>IFERROR(E8/C8,0)</f>
        <v/>
      </c>
      <c r="G8" s="27">
        <f>B8*'README &amp; Assumptions'!B50</f>
        <v/>
      </c>
      <c r="H8" s="25">
        <f>E8-G8</f>
        <v/>
      </c>
      <c r="I8" s="26">
        <f>IFERROR(H8/C8,0)</f>
        <v/>
      </c>
      <c r="J8" s="25">
        <f>H8*12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Supply Procurement Options — same volume, 3 supply chains</t>
        </is>
      </c>
    </row>
    <row r="2">
      <c r="A2" s="2" t="inlineStr">
        <is>
          <t>Compare current Samurai pay-per-order vs. bulk-prepay vs. eSIM Access direct at 1,000 users.</t>
        </is>
      </c>
    </row>
    <row r="4">
      <c r="A4" s="3" t="inlineStr">
        <is>
          <t>OPTIONS</t>
        </is>
      </c>
    </row>
    <row r="5">
      <c r="A5" s="8" t="inlineStr">
        <is>
          <t>Option</t>
        </is>
      </c>
      <c r="B5" s="8" t="inlineStr">
        <is>
          <t>Cost Modifier</t>
        </is>
      </c>
      <c r="C5" s="8" t="inlineStr">
        <is>
          <t>Breakage Cost</t>
        </is>
      </c>
      <c r="D5" s="8" t="inlineStr">
        <is>
          <t>Platform Fee/mo</t>
        </is>
      </c>
      <c r="E5" s="8" t="inlineStr">
        <is>
          <t>Description</t>
        </is>
      </c>
    </row>
    <row r="6">
      <c r="A6" s="9" t="inlineStr">
        <is>
          <t>A. Samurai pay-per-order</t>
        </is>
      </c>
      <c r="B6" s="13" t="n">
        <v>1</v>
      </c>
      <c r="C6" s="13" t="n">
        <v>0</v>
      </c>
      <c r="D6" s="28" t="n">
        <v>0</v>
      </c>
      <c r="E6" s="14" t="inlineStr">
        <is>
          <t>Current model: COGS = consumed only, no upfront commitment</t>
        </is>
      </c>
    </row>
    <row r="7">
      <c r="A7" s="9" t="inlineStr">
        <is>
          <t>B. Samurai bulk prepay -10%</t>
        </is>
      </c>
      <c r="B7" s="13" t="n">
        <v>0.9</v>
      </c>
      <c r="C7" s="13" t="n">
        <v>0.15</v>
      </c>
      <c r="D7" s="28" t="n">
        <v>0</v>
      </c>
      <c r="E7" s="14" t="inlineStr">
        <is>
          <t>10% discount but pre-buy 100% of pool, 15% breakage on unused inventory</t>
        </is>
      </c>
    </row>
    <row r="8">
      <c r="A8" s="9" t="inlineStr">
        <is>
          <t>C. eSIM Access direct -40%</t>
        </is>
      </c>
      <c r="B8" s="13" t="n">
        <v>0.6</v>
      </c>
      <c r="C8" s="13" t="n">
        <v>0</v>
      </c>
      <c r="D8" s="28" t="n">
        <v>5000</v>
      </c>
      <c r="E8" s="14" t="inlineStr">
        <is>
          <t>Bypass Samurai, save 40% but $5K/mo platform commitment</t>
        </is>
      </c>
    </row>
    <row r="10">
      <c r="A10" s="3" t="inlineStr">
        <is>
          <t>COMPARISON @ 1,000 active users</t>
        </is>
      </c>
    </row>
    <row r="11">
      <c r="A11" s="8" t="inlineStr">
        <is>
          <t>Option</t>
        </is>
      </c>
      <c r="B11" s="8" t="inlineStr">
        <is>
          <t>Monthly Revenue</t>
        </is>
      </c>
      <c r="C11" s="8" t="inlineStr">
        <is>
          <t>Effective COGS</t>
        </is>
      </c>
      <c r="D11" s="8" t="inlineStr">
        <is>
          <t>Platform Fee</t>
        </is>
      </c>
      <c r="E11" s="8" t="inlineStr">
        <is>
          <t>Net Profit</t>
        </is>
      </c>
      <c r="F11" s="8" t="inlineStr">
        <is>
          <t>Net Margin %</t>
        </is>
      </c>
      <c r="G11" s="8" t="inlineStr">
        <is>
          <t>Annual Net</t>
        </is>
      </c>
    </row>
    <row r="12">
      <c r="A12" s="9" t="inlineStr">
        <is>
          <t>A. Samurai pay-per-order</t>
        </is>
      </c>
      <c r="B12" s="24">
        <f>1000*SUMPRODUCT('Per-Tier Unit Economics'!B5:B11+'Per-Tier Unit Economics'!F5:F11,'README &amp; Assumptions'!B34:B40)</f>
        <v/>
      </c>
      <c r="C12" s="24">
        <f>1000*SUMPRODUCT('Per-Tier Unit Economics'!E5:E11+'Per-Tier Unit Economics'!G5:G11+'Per-Tier Unit Economics'!H5:H11,'README &amp; Assumptions'!B34:B40)*B6</f>
        <v/>
      </c>
      <c r="D12" s="24">
        <f>D6</f>
        <v/>
      </c>
      <c r="E12" s="25">
        <f>B12-C12-D12-(1000*'README &amp; Assumptions'!B50)</f>
        <v/>
      </c>
      <c r="F12" s="17">
        <f>IFERROR(E12/B12,0)</f>
        <v/>
      </c>
      <c r="G12" s="25">
        <f>E12*12</f>
        <v/>
      </c>
    </row>
    <row r="13">
      <c r="A13" s="9" t="inlineStr">
        <is>
          <t>B. Samurai bulk prepay -10%</t>
        </is>
      </c>
      <c r="B13" s="24">
        <f>1000*SUMPRODUCT('Per-Tier Unit Economics'!B5:B11+'Per-Tier Unit Economics'!F5:F11,'README &amp; Assumptions'!B34:B40)</f>
        <v/>
      </c>
      <c r="C13" s="24">
        <f>1000*SUMPRODUCT('User Behavior'!B17:B23,'README &amp; Assumptions'!B34:B40)*'README &amp; Assumptions'!C29*B7</f>
        <v/>
      </c>
      <c r="D13" s="24">
        <f>D7</f>
        <v/>
      </c>
      <c r="E13" s="25">
        <f>B13-C13-D13-(1000*'README &amp; Assumptions'!B50)</f>
        <v/>
      </c>
      <c r="F13" s="17">
        <f>IFERROR(E13/B13,0)</f>
        <v/>
      </c>
      <c r="G13" s="25">
        <f>E13*12</f>
        <v/>
      </c>
    </row>
    <row r="14">
      <c r="A14" s="9" t="inlineStr">
        <is>
          <t>C. eSIM Access direct -40%</t>
        </is>
      </c>
      <c r="B14" s="24">
        <f>1000*SUMPRODUCT('Per-Tier Unit Economics'!B5:B11+'Per-Tier Unit Economics'!F5:F11,'README &amp; Assumptions'!B34:B40)</f>
        <v/>
      </c>
      <c r="C14" s="24">
        <f>1000*SUMPRODUCT('Per-Tier Unit Economics'!E5:E11+'Per-Tier Unit Economics'!G5:G11+'Per-Tier Unit Economics'!H5:H11,'README &amp; Assumptions'!B34:B40)*B8</f>
        <v/>
      </c>
      <c r="D14" s="24">
        <f>D8</f>
        <v/>
      </c>
      <c r="E14" s="25">
        <f>B14-C14-D14-(1000*'README &amp; Assumptions'!B50)</f>
        <v/>
      </c>
      <c r="F14" s="17">
        <f>IFERROR(E14/B14,0)</f>
        <v/>
      </c>
      <c r="G14" s="25">
        <f>E14*12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4" customWidth="1" min="5" max="5"/>
    <col width="18" customWidth="1" min="6" max="6"/>
    <col width="22" customWidth="1" min="7" max="7"/>
  </cols>
  <sheetData>
    <row r="1">
      <c r="A1" s="1" t="inlineStr">
        <is>
          <t>24-Month Rollout — Base Scenario S-curve</t>
        </is>
      </c>
    </row>
    <row r="4">
      <c r="A4" s="8" t="inlineStr">
        <is>
          <t>Month</t>
        </is>
      </c>
      <c r="B4" s="8" t="inlineStr">
        <is>
          <t>Active Users</t>
        </is>
      </c>
      <c r="C4" s="8" t="inlineStr">
        <is>
          <t>Revenue</t>
        </is>
      </c>
      <c r="D4" s="8" t="inlineStr">
        <is>
          <t>COGS</t>
        </is>
      </c>
      <c r="E4" s="8" t="inlineStr">
        <is>
          <t>Opex</t>
        </is>
      </c>
      <c r="F4" s="8" t="inlineStr">
        <is>
          <t>Net Profit</t>
        </is>
      </c>
      <c r="G4" s="8" t="inlineStr">
        <is>
          <t>Cumulative Profit</t>
        </is>
      </c>
    </row>
    <row r="5">
      <c r="A5" s="9" t="inlineStr">
        <is>
          <t>M1</t>
        </is>
      </c>
      <c r="B5" s="23" t="n">
        <v>50</v>
      </c>
      <c r="C5" s="24">
        <f>B5*SUMPRODUCT('Per-Tier Unit Economics'!B5:B11+'Per-Tier Unit Economics'!F5:F11,'README &amp; Assumptions'!B34:B40)</f>
        <v/>
      </c>
      <c r="D5" s="24">
        <f>B5*SUMPRODUCT('Per-Tier Unit Economics'!E5:E11+'Per-Tier Unit Economics'!G5:G11+'Per-Tier Unit Economics'!H5:H11,'README &amp; Assumptions'!B34:B40)</f>
        <v/>
      </c>
      <c r="E5" s="24">
        <f>B5*'README &amp; Assumptions'!B50</f>
        <v/>
      </c>
      <c r="F5" s="25">
        <f>C5-D5-E5</f>
        <v/>
      </c>
      <c r="G5" s="25">
        <f>F5</f>
        <v/>
      </c>
    </row>
    <row r="6">
      <c r="A6" s="9" t="inlineStr">
        <is>
          <t>M2</t>
        </is>
      </c>
      <c r="B6" s="23" t="n">
        <v>80</v>
      </c>
      <c r="C6" s="24">
        <f>B6*SUMPRODUCT('Per-Tier Unit Economics'!B5:B11+'Per-Tier Unit Economics'!F5:F11,'README &amp; Assumptions'!B34:B40)</f>
        <v/>
      </c>
      <c r="D6" s="24">
        <f>B6*SUMPRODUCT('Per-Tier Unit Economics'!E5:E11+'Per-Tier Unit Economics'!G5:G11+'Per-Tier Unit Economics'!H5:H11,'README &amp; Assumptions'!B34:B40)</f>
        <v/>
      </c>
      <c r="E6" s="24">
        <f>B6*'README &amp; Assumptions'!B50</f>
        <v/>
      </c>
      <c r="F6" s="25">
        <f>C6-D6-E6</f>
        <v/>
      </c>
      <c r="G6" s="25">
        <f>G5+F6</f>
        <v/>
      </c>
    </row>
    <row r="7">
      <c r="A7" s="9" t="inlineStr">
        <is>
          <t>M3</t>
        </is>
      </c>
      <c r="B7" s="23" t="n">
        <v>130</v>
      </c>
      <c r="C7" s="24">
        <f>B7*SUMPRODUCT('Per-Tier Unit Economics'!B5:B11+'Per-Tier Unit Economics'!F5:F11,'README &amp; Assumptions'!B34:B40)</f>
        <v/>
      </c>
      <c r="D7" s="24">
        <f>B7*SUMPRODUCT('Per-Tier Unit Economics'!E5:E11+'Per-Tier Unit Economics'!G5:G11+'Per-Tier Unit Economics'!H5:H11,'README &amp; Assumptions'!B34:B40)</f>
        <v/>
      </c>
      <c r="E7" s="24">
        <f>B7*'README &amp; Assumptions'!B50</f>
        <v/>
      </c>
      <c r="F7" s="25">
        <f>C7-D7-E7</f>
        <v/>
      </c>
      <c r="G7" s="25">
        <f>G6+F7</f>
        <v/>
      </c>
    </row>
    <row r="8">
      <c r="A8" s="9" t="inlineStr">
        <is>
          <t>M4</t>
        </is>
      </c>
      <c r="B8" s="23" t="n">
        <v>200</v>
      </c>
      <c r="C8" s="24">
        <f>B8*SUMPRODUCT('Per-Tier Unit Economics'!B5:B11+'Per-Tier Unit Economics'!F5:F11,'README &amp; Assumptions'!B34:B40)</f>
        <v/>
      </c>
      <c r="D8" s="24">
        <f>B8*SUMPRODUCT('Per-Tier Unit Economics'!E5:E11+'Per-Tier Unit Economics'!G5:G11+'Per-Tier Unit Economics'!H5:H11,'README &amp; Assumptions'!B34:B40)</f>
        <v/>
      </c>
      <c r="E8" s="24">
        <f>B8*'README &amp; Assumptions'!B50</f>
        <v/>
      </c>
      <c r="F8" s="25">
        <f>C8-D8-E8</f>
        <v/>
      </c>
      <c r="G8" s="25">
        <f>G7+F8</f>
        <v/>
      </c>
    </row>
    <row r="9">
      <c r="A9" s="9" t="inlineStr">
        <is>
          <t>M5</t>
        </is>
      </c>
      <c r="B9" s="23" t="n">
        <v>300</v>
      </c>
      <c r="C9" s="24">
        <f>B9*SUMPRODUCT('Per-Tier Unit Economics'!B5:B11+'Per-Tier Unit Economics'!F5:F11,'README &amp; Assumptions'!B34:B40)</f>
        <v/>
      </c>
      <c r="D9" s="24">
        <f>B9*SUMPRODUCT('Per-Tier Unit Economics'!E5:E11+'Per-Tier Unit Economics'!G5:G11+'Per-Tier Unit Economics'!H5:H11,'README &amp; Assumptions'!B34:B40)</f>
        <v/>
      </c>
      <c r="E9" s="24">
        <f>B9*'README &amp; Assumptions'!B50</f>
        <v/>
      </c>
      <c r="F9" s="25">
        <f>C9-D9-E9</f>
        <v/>
      </c>
      <c r="G9" s="25">
        <f>G8+F9</f>
        <v/>
      </c>
    </row>
    <row r="10">
      <c r="A10" s="9" t="inlineStr">
        <is>
          <t>M6</t>
        </is>
      </c>
      <c r="B10" s="23" t="n">
        <v>450</v>
      </c>
      <c r="C10" s="24">
        <f>B10*SUMPRODUCT('Per-Tier Unit Economics'!B5:B11+'Per-Tier Unit Economics'!F5:F11,'README &amp; Assumptions'!B34:B40)</f>
        <v/>
      </c>
      <c r="D10" s="24">
        <f>B10*SUMPRODUCT('Per-Tier Unit Economics'!E5:E11+'Per-Tier Unit Economics'!G5:G11+'Per-Tier Unit Economics'!H5:H11,'README &amp; Assumptions'!B34:B40)</f>
        <v/>
      </c>
      <c r="E10" s="24">
        <f>B10*'README &amp; Assumptions'!B50</f>
        <v/>
      </c>
      <c r="F10" s="25">
        <f>C10-D10-E10</f>
        <v/>
      </c>
      <c r="G10" s="25">
        <f>G9+F10</f>
        <v/>
      </c>
    </row>
    <row r="11">
      <c r="A11" s="9" t="inlineStr">
        <is>
          <t>M7</t>
        </is>
      </c>
      <c r="B11" s="23" t="n">
        <v>650</v>
      </c>
      <c r="C11" s="24">
        <f>B11*SUMPRODUCT('Per-Tier Unit Economics'!B5:B11+'Per-Tier Unit Economics'!F5:F11,'README &amp; Assumptions'!B34:B40)</f>
        <v/>
      </c>
      <c r="D11" s="24">
        <f>B11*SUMPRODUCT('Per-Tier Unit Economics'!E5:E11+'Per-Tier Unit Economics'!G5:G11+'Per-Tier Unit Economics'!H5:H11,'README &amp; Assumptions'!B34:B40)</f>
        <v/>
      </c>
      <c r="E11" s="24">
        <f>B11*'README &amp; Assumptions'!B50</f>
        <v/>
      </c>
      <c r="F11" s="25">
        <f>C11-D11-E11</f>
        <v/>
      </c>
      <c r="G11" s="25">
        <f>G10+F11</f>
        <v/>
      </c>
    </row>
    <row r="12">
      <c r="A12" s="9" t="inlineStr">
        <is>
          <t>M8</t>
        </is>
      </c>
      <c r="B12" s="23" t="n">
        <v>900</v>
      </c>
      <c r="C12" s="24">
        <f>B12*SUMPRODUCT('Per-Tier Unit Economics'!B5:B11+'Per-Tier Unit Economics'!F5:F11,'README &amp; Assumptions'!B34:B40)</f>
        <v/>
      </c>
      <c r="D12" s="24">
        <f>B12*SUMPRODUCT('Per-Tier Unit Economics'!E5:E11+'Per-Tier Unit Economics'!G5:G11+'Per-Tier Unit Economics'!H5:H11,'README &amp; Assumptions'!B34:B40)</f>
        <v/>
      </c>
      <c r="E12" s="24">
        <f>B12*'README &amp; Assumptions'!B50</f>
        <v/>
      </c>
      <c r="F12" s="25">
        <f>C12-D12-E12</f>
        <v/>
      </c>
      <c r="G12" s="25">
        <f>G11+F12</f>
        <v/>
      </c>
    </row>
    <row r="13">
      <c r="A13" s="9" t="inlineStr">
        <is>
          <t>M9</t>
        </is>
      </c>
      <c r="B13" s="23" t="n">
        <v>1200</v>
      </c>
      <c r="C13" s="24">
        <f>B13*SUMPRODUCT('Per-Tier Unit Economics'!B5:B11+'Per-Tier Unit Economics'!F5:F11,'README &amp; Assumptions'!B34:B40)</f>
        <v/>
      </c>
      <c r="D13" s="24">
        <f>B13*SUMPRODUCT('Per-Tier Unit Economics'!E5:E11+'Per-Tier Unit Economics'!G5:G11+'Per-Tier Unit Economics'!H5:H11,'README &amp; Assumptions'!B34:B40)</f>
        <v/>
      </c>
      <c r="E13" s="24">
        <f>B13*'README &amp; Assumptions'!B50</f>
        <v/>
      </c>
      <c r="F13" s="25">
        <f>C13-D13-E13</f>
        <v/>
      </c>
      <c r="G13" s="25">
        <f>G12+F13</f>
        <v/>
      </c>
    </row>
    <row r="14">
      <c r="A14" s="9" t="inlineStr">
        <is>
          <t>M10</t>
        </is>
      </c>
      <c r="B14" s="23" t="n">
        <v>1500</v>
      </c>
      <c r="C14" s="24">
        <f>B14*SUMPRODUCT('Per-Tier Unit Economics'!B5:B11+'Per-Tier Unit Economics'!F5:F11,'README &amp; Assumptions'!B34:B40)</f>
        <v/>
      </c>
      <c r="D14" s="24">
        <f>B14*SUMPRODUCT('Per-Tier Unit Economics'!E5:E11+'Per-Tier Unit Economics'!G5:G11+'Per-Tier Unit Economics'!H5:H11,'README &amp; Assumptions'!B34:B40)</f>
        <v/>
      </c>
      <c r="E14" s="24">
        <f>B14*'README &amp; Assumptions'!B50</f>
        <v/>
      </c>
      <c r="F14" s="25">
        <f>C14-D14-E14</f>
        <v/>
      </c>
      <c r="G14" s="25">
        <f>G13+F14</f>
        <v/>
      </c>
    </row>
    <row r="15">
      <c r="A15" s="9" t="inlineStr">
        <is>
          <t>M11</t>
        </is>
      </c>
      <c r="B15" s="23" t="n">
        <v>1800</v>
      </c>
      <c r="C15" s="24">
        <f>B15*SUMPRODUCT('Per-Tier Unit Economics'!B5:B11+'Per-Tier Unit Economics'!F5:F11,'README &amp; Assumptions'!B34:B40)</f>
        <v/>
      </c>
      <c r="D15" s="24">
        <f>B15*SUMPRODUCT('Per-Tier Unit Economics'!E5:E11+'Per-Tier Unit Economics'!G5:G11+'Per-Tier Unit Economics'!H5:H11,'README &amp; Assumptions'!B34:B40)</f>
        <v/>
      </c>
      <c r="E15" s="24">
        <f>B15*'README &amp; Assumptions'!B50</f>
        <v/>
      </c>
      <c r="F15" s="25">
        <f>C15-D15-E15</f>
        <v/>
      </c>
      <c r="G15" s="25">
        <f>G14+F15</f>
        <v/>
      </c>
    </row>
    <row r="16">
      <c r="A16" s="9" t="inlineStr">
        <is>
          <t>M12</t>
        </is>
      </c>
      <c r="B16" s="23" t="n">
        <v>2100</v>
      </c>
      <c r="C16" s="24">
        <f>B16*SUMPRODUCT('Per-Tier Unit Economics'!B5:B11+'Per-Tier Unit Economics'!F5:F11,'README &amp; Assumptions'!B34:B40)</f>
        <v/>
      </c>
      <c r="D16" s="24">
        <f>B16*SUMPRODUCT('Per-Tier Unit Economics'!E5:E11+'Per-Tier Unit Economics'!G5:G11+'Per-Tier Unit Economics'!H5:H11,'README &amp; Assumptions'!B34:B40)</f>
        <v/>
      </c>
      <c r="E16" s="24">
        <f>B16*'README &amp; Assumptions'!B50</f>
        <v/>
      </c>
      <c r="F16" s="25">
        <f>C16-D16-E16</f>
        <v/>
      </c>
      <c r="G16" s="25">
        <f>G15+F16</f>
        <v/>
      </c>
    </row>
    <row r="17">
      <c r="A17" s="9" t="inlineStr">
        <is>
          <t>M13</t>
        </is>
      </c>
      <c r="B17" s="23" t="n">
        <v>2400</v>
      </c>
      <c r="C17" s="24">
        <f>B17*SUMPRODUCT('Per-Tier Unit Economics'!B5:B11+'Per-Tier Unit Economics'!F5:F11,'README &amp; Assumptions'!B34:B40)</f>
        <v/>
      </c>
      <c r="D17" s="24">
        <f>B17*SUMPRODUCT('Per-Tier Unit Economics'!E5:E11+'Per-Tier Unit Economics'!G5:G11+'Per-Tier Unit Economics'!H5:H11,'README &amp; Assumptions'!B34:B40)</f>
        <v/>
      </c>
      <c r="E17" s="24">
        <f>B17*'README &amp; Assumptions'!B50</f>
        <v/>
      </c>
      <c r="F17" s="25">
        <f>C17-D17-E17</f>
        <v/>
      </c>
      <c r="G17" s="25">
        <f>G16+F17</f>
        <v/>
      </c>
    </row>
    <row r="18">
      <c r="A18" s="9" t="inlineStr">
        <is>
          <t>M14</t>
        </is>
      </c>
      <c r="B18" s="23" t="n">
        <v>2700</v>
      </c>
      <c r="C18" s="24">
        <f>B18*SUMPRODUCT('Per-Tier Unit Economics'!B5:B11+'Per-Tier Unit Economics'!F5:F11,'README &amp; Assumptions'!B34:B40)</f>
        <v/>
      </c>
      <c r="D18" s="24">
        <f>B18*SUMPRODUCT('Per-Tier Unit Economics'!E5:E11+'Per-Tier Unit Economics'!G5:G11+'Per-Tier Unit Economics'!H5:H11,'README &amp; Assumptions'!B34:B40)</f>
        <v/>
      </c>
      <c r="E18" s="24">
        <f>B18*'README &amp; Assumptions'!B50</f>
        <v/>
      </c>
      <c r="F18" s="25">
        <f>C18-D18-E18</f>
        <v/>
      </c>
      <c r="G18" s="25">
        <f>G17+F18</f>
        <v/>
      </c>
    </row>
    <row r="19">
      <c r="A19" s="9" t="inlineStr">
        <is>
          <t>M15</t>
        </is>
      </c>
      <c r="B19" s="23" t="n">
        <v>3000</v>
      </c>
      <c r="C19" s="24">
        <f>B19*SUMPRODUCT('Per-Tier Unit Economics'!B5:B11+'Per-Tier Unit Economics'!F5:F11,'README &amp; Assumptions'!B34:B40)</f>
        <v/>
      </c>
      <c r="D19" s="24">
        <f>B19*SUMPRODUCT('Per-Tier Unit Economics'!E5:E11+'Per-Tier Unit Economics'!G5:G11+'Per-Tier Unit Economics'!H5:H11,'README &amp; Assumptions'!B34:B40)</f>
        <v/>
      </c>
      <c r="E19" s="24">
        <f>B19*'README &amp; Assumptions'!B50</f>
        <v/>
      </c>
      <c r="F19" s="25">
        <f>C19-D19-E19</f>
        <v/>
      </c>
      <c r="G19" s="25">
        <f>G18+F19</f>
        <v/>
      </c>
    </row>
    <row r="20">
      <c r="A20" s="9" t="inlineStr">
        <is>
          <t>M16</t>
        </is>
      </c>
      <c r="B20" s="23" t="n">
        <v>3300</v>
      </c>
      <c r="C20" s="24">
        <f>B20*SUMPRODUCT('Per-Tier Unit Economics'!B5:B11+'Per-Tier Unit Economics'!F5:F11,'README &amp; Assumptions'!B34:B40)</f>
        <v/>
      </c>
      <c r="D20" s="24">
        <f>B20*SUMPRODUCT('Per-Tier Unit Economics'!E5:E11+'Per-Tier Unit Economics'!G5:G11+'Per-Tier Unit Economics'!H5:H11,'README &amp; Assumptions'!B34:B40)</f>
        <v/>
      </c>
      <c r="E20" s="24">
        <f>B20*'README &amp; Assumptions'!B50</f>
        <v/>
      </c>
      <c r="F20" s="25">
        <f>C20-D20-E20</f>
        <v/>
      </c>
      <c r="G20" s="25">
        <f>G19+F20</f>
        <v/>
      </c>
    </row>
    <row r="21">
      <c r="A21" s="9" t="inlineStr">
        <is>
          <t>M17</t>
        </is>
      </c>
      <c r="B21" s="23" t="n">
        <v>3600</v>
      </c>
      <c r="C21" s="24">
        <f>B21*SUMPRODUCT('Per-Tier Unit Economics'!B5:B11+'Per-Tier Unit Economics'!F5:F11,'README &amp; Assumptions'!B34:B40)</f>
        <v/>
      </c>
      <c r="D21" s="24">
        <f>B21*SUMPRODUCT('Per-Tier Unit Economics'!E5:E11+'Per-Tier Unit Economics'!G5:G11+'Per-Tier Unit Economics'!H5:H11,'README &amp; Assumptions'!B34:B40)</f>
        <v/>
      </c>
      <c r="E21" s="24">
        <f>B21*'README &amp; Assumptions'!B50</f>
        <v/>
      </c>
      <c r="F21" s="25">
        <f>C21-D21-E21</f>
        <v/>
      </c>
      <c r="G21" s="25">
        <f>G20+F21</f>
        <v/>
      </c>
    </row>
    <row r="22">
      <c r="A22" s="9" t="inlineStr">
        <is>
          <t>M18</t>
        </is>
      </c>
      <c r="B22" s="23" t="n">
        <v>3900</v>
      </c>
      <c r="C22" s="24">
        <f>B22*SUMPRODUCT('Per-Tier Unit Economics'!B5:B11+'Per-Tier Unit Economics'!F5:F11,'README &amp; Assumptions'!B34:B40)</f>
        <v/>
      </c>
      <c r="D22" s="24">
        <f>B22*SUMPRODUCT('Per-Tier Unit Economics'!E5:E11+'Per-Tier Unit Economics'!G5:G11+'Per-Tier Unit Economics'!H5:H11,'README &amp; Assumptions'!B34:B40)</f>
        <v/>
      </c>
      <c r="E22" s="24">
        <f>B22*'README &amp; Assumptions'!B50</f>
        <v/>
      </c>
      <c r="F22" s="25">
        <f>C22-D22-E22</f>
        <v/>
      </c>
      <c r="G22" s="25">
        <f>G21+F22</f>
        <v/>
      </c>
    </row>
    <row r="23">
      <c r="A23" s="9" t="inlineStr">
        <is>
          <t>M19</t>
        </is>
      </c>
      <c r="B23" s="23" t="n">
        <v>4200</v>
      </c>
      <c r="C23" s="24">
        <f>B23*SUMPRODUCT('Per-Tier Unit Economics'!B5:B11+'Per-Tier Unit Economics'!F5:F11,'README &amp; Assumptions'!B34:B40)</f>
        <v/>
      </c>
      <c r="D23" s="24">
        <f>B23*SUMPRODUCT('Per-Tier Unit Economics'!E5:E11+'Per-Tier Unit Economics'!G5:G11+'Per-Tier Unit Economics'!H5:H11,'README &amp; Assumptions'!B34:B40)</f>
        <v/>
      </c>
      <c r="E23" s="24">
        <f>B23*'README &amp; Assumptions'!B50</f>
        <v/>
      </c>
      <c r="F23" s="25">
        <f>C23-D23-E23</f>
        <v/>
      </c>
      <c r="G23" s="25">
        <f>G22+F23</f>
        <v/>
      </c>
    </row>
    <row r="24">
      <c r="A24" s="9" t="inlineStr">
        <is>
          <t>M20</t>
        </is>
      </c>
      <c r="B24" s="23" t="n">
        <v>4500</v>
      </c>
      <c r="C24" s="24">
        <f>B24*SUMPRODUCT('Per-Tier Unit Economics'!B5:B11+'Per-Tier Unit Economics'!F5:F11,'README &amp; Assumptions'!B34:B40)</f>
        <v/>
      </c>
      <c r="D24" s="24">
        <f>B24*SUMPRODUCT('Per-Tier Unit Economics'!E5:E11+'Per-Tier Unit Economics'!G5:G11+'Per-Tier Unit Economics'!H5:H11,'README &amp; Assumptions'!B34:B40)</f>
        <v/>
      </c>
      <c r="E24" s="24">
        <f>B24*'README &amp; Assumptions'!B50</f>
        <v/>
      </c>
      <c r="F24" s="25">
        <f>C24-D24-E24</f>
        <v/>
      </c>
      <c r="G24" s="25">
        <f>G23+F24</f>
        <v/>
      </c>
    </row>
    <row r="25">
      <c r="A25" s="9" t="inlineStr">
        <is>
          <t>M21</t>
        </is>
      </c>
      <c r="B25" s="23" t="n">
        <v>4700</v>
      </c>
      <c r="C25" s="24">
        <f>B25*SUMPRODUCT('Per-Tier Unit Economics'!B5:B11+'Per-Tier Unit Economics'!F5:F11,'README &amp; Assumptions'!B34:B40)</f>
        <v/>
      </c>
      <c r="D25" s="24">
        <f>B25*SUMPRODUCT('Per-Tier Unit Economics'!E5:E11+'Per-Tier Unit Economics'!G5:G11+'Per-Tier Unit Economics'!H5:H11,'README &amp; Assumptions'!B34:B40)</f>
        <v/>
      </c>
      <c r="E25" s="24">
        <f>B25*'README &amp; Assumptions'!B50</f>
        <v/>
      </c>
      <c r="F25" s="25">
        <f>C25-D25-E25</f>
        <v/>
      </c>
      <c r="G25" s="25">
        <f>G24+F25</f>
        <v/>
      </c>
    </row>
    <row r="26">
      <c r="A26" s="9" t="inlineStr">
        <is>
          <t>M22</t>
        </is>
      </c>
      <c r="B26" s="23" t="n">
        <v>4850</v>
      </c>
      <c r="C26" s="24">
        <f>B26*SUMPRODUCT('Per-Tier Unit Economics'!B5:B11+'Per-Tier Unit Economics'!F5:F11,'README &amp; Assumptions'!B34:B40)</f>
        <v/>
      </c>
      <c r="D26" s="24">
        <f>B26*SUMPRODUCT('Per-Tier Unit Economics'!E5:E11+'Per-Tier Unit Economics'!G5:G11+'Per-Tier Unit Economics'!H5:H11,'README &amp; Assumptions'!B34:B40)</f>
        <v/>
      </c>
      <c r="E26" s="24">
        <f>B26*'README &amp; Assumptions'!B50</f>
        <v/>
      </c>
      <c r="F26" s="25">
        <f>C26-D26-E26</f>
        <v/>
      </c>
      <c r="G26" s="25">
        <f>G25+F26</f>
        <v/>
      </c>
    </row>
    <row r="27">
      <c r="A27" s="9" t="inlineStr">
        <is>
          <t>M23</t>
        </is>
      </c>
      <c r="B27" s="23" t="n">
        <v>4950</v>
      </c>
      <c r="C27" s="24">
        <f>B27*SUMPRODUCT('Per-Tier Unit Economics'!B5:B11+'Per-Tier Unit Economics'!F5:F11,'README &amp; Assumptions'!B34:B40)</f>
        <v/>
      </c>
      <c r="D27" s="24">
        <f>B27*SUMPRODUCT('Per-Tier Unit Economics'!E5:E11+'Per-Tier Unit Economics'!G5:G11+'Per-Tier Unit Economics'!H5:H11,'README &amp; Assumptions'!B34:B40)</f>
        <v/>
      </c>
      <c r="E27" s="24">
        <f>B27*'README &amp; Assumptions'!B50</f>
        <v/>
      </c>
      <c r="F27" s="25">
        <f>C27-D27-E27</f>
        <v/>
      </c>
      <c r="G27" s="25">
        <f>G26+F27</f>
        <v/>
      </c>
    </row>
    <row r="28">
      <c r="A28" s="9" t="inlineStr">
        <is>
          <t>M24</t>
        </is>
      </c>
      <c r="B28" s="23" t="n">
        <v>5000</v>
      </c>
      <c r="C28" s="24">
        <f>B28*SUMPRODUCT('Per-Tier Unit Economics'!B5:B11+'Per-Tier Unit Economics'!F5:F11,'README &amp; Assumptions'!B34:B40)</f>
        <v/>
      </c>
      <c r="D28" s="24">
        <f>B28*SUMPRODUCT('Per-Tier Unit Economics'!E5:E11+'Per-Tier Unit Economics'!G5:G11+'Per-Tier Unit Economics'!H5:H11,'README &amp; Assumptions'!B34:B40)</f>
        <v/>
      </c>
      <c r="E28" s="24">
        <f>B28*'README &amp; Assumptions'!B50</f>
        <v/>
      </c>
      <c r="F28" s="25">
        <f>C28-D28-E28</f>
        <v/>
      </c>
      <c r="G28" s="25">
        <f>G27+F28</f>
        <v/>
      </c>
    </row>
    <row r="29">
      <c r="A29" s="9" t="inlineStr">
        <is>
          <t>24-MO TOTAL</t>
        </is>
      </c>
      <c r="C29" s="25">
        <f>SUM(C5:C28)</f>
        <v/>
      </c>
      <c r="D29" s="25">
        <f>SUM(D5:D28)</f>
        <v/>
      </c>
      <c r="E29" s="25">
        <f>SUM(E5:E28)</f>
        <v/>
      </c>
      <c r="F29" s="25">
        <f>SUM(F5:F28)</f>
        <v/>
      </c>
      <c r="G29" s="25">
        <f>G28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Behavior Sensitivity — net profit vs user behavior mix @ 1,000 users</t>
        </is>
      </c>
    </row>
    <row r="2">
      <c r="A2" s="2" t="inlineStr">
        <is>
          <t>How much of the 'pool unused = breakage revenue' effect changes with user behavior.</t>
        </is>
      </c>
    </row>
    <row r="4">
      <c r="A4" s="8" t="inlineStr">
        <is>
          <t>Mix Profile</t>
        </is>
      </c>
      <c r="B4" s="8" t="inlineStr">
        <is>
          <t>% Light</t>
        </is>
      </c>
      <c r="C4" s="8" t="inlineStr">
        <is>
          <t>% Average</t>
        </is>
      </c>
      <c r="D4" s="8" t="inlineStr">
        <is>
          <t>% Heavy</t>
        </is>
      </c>
      <c r="E4" s="8" t="inlineStr">
        <is>
          <t>% Churner</t>
        </is>
      </c>
      <c r="F4" s="8" t="inlineStr">
        <is>
          <t>Avg % Consumed</t>
        </is>
      </c>
      <c r="G4" s="8" t="inlineStr">
        <is>
          <t>Monthly Net</t>
        </is>
      </c>
      <c r="H4" s="8" t="inlineStr">
        <is>
          <t>Net Margin %</t>
        </is>
      </c>
    </row>
    <row r="5">
      <c r="A5" s="9" t="inlineStr">
        <is>
          <t>Healthy SaaS (lots of light users)</t>
        </is>
      </c>
      <c r="B5" s="13" t="n">
        <v>0.55</v>
      </c>
      <c r="C5" s="13" t="n">
        <v>0.3</v>
      </c>
      <c r="D5" s="13" t="n">
        <v>0.1</v>
      </c>
      <c r="E5" s="13" t="n">
        <v>0.05</v>
      </c>
      <c r="F5" s="17">
        <f>B5*0.30+C5*0.65+D5*0.95+E5*0.10</f>
        <v/>
      </c>
      <c r="G5" s="25">
        <f>(1000*SUMPRODUCT('Per-Tier Unit Economics'!B5:B11+'Per-Tier Unit Economics'!F5:F11,'README &amp; Assumptions'!B34:B40))-(1000*SUMPRODUCT('User Behavior'!B17:B23,'README &amp; Assumptions'!B34:B40)*'README &amp; Assumptions'!C29*F5)-(1000*'README &amp; Assumptions'!B50)</f>
        <v/>
      </c>
      <c r="H5" s="26">
        <f>IFERROR(G5/(1000*SUMPRODUCT('Per-Tier Unit Economics'!B5:B11+'Per-Tier Unit Economics'!F5:F11,'README &amp; Assumptions'!B34:B40)),0)</f>
        <v/>
      </c>
    </row>
    <row r="6">
      <c r="A6" s="9" t="inlineStr">
        <is>
          <t>Base (current model)</t>
        </is>
      </c>
      <c r="B6" s="13" t="n">
        <v>0.4</v>
      </c>
      <c r="C6" s="13" t="n">
        <v>0.35</v>
      </c>
      <c r="D6" s="13" t="n">
        <v>0.2</v>
      </c>
      <c r="E6" s="13" t="n">
        <v>0.05</v>
      </c>
      <c r="F6" s="17">
        <f>B6*0.30+C6*0.65+D6*0.95+E6*0.10</f>
        <v/>
      </c>
      <c r="G6" s="25">
        <f>(1000*SUMPRODUCT('Per-Tier Unit Economics'!B5:B11+'Per-Tier Unit Economics'!F5:F11,'README &amp; Assumptions'!B34:B40))-(1000*SUMPRODUCT('User Behavior'!B17:B23,'README &amp; Assumptions'!B34:B40)*'README &amp; Assumptions'!C29*F6)-(1000*'README &amp; Assumptions'!B50)</f>
        <v/>
      </c>
      <c r="H6" s="26">
        <f>IFERROR(G6/(1000*SUMPRODUCT('Per-Tier Unit Economics'!B5:B11+'Per-Tier Unit Economics'!F5:F11,'README &amp; Assumptions'!B34:B40)),0)</f>
        <v/>
      </c>
    </row>
    <row r="7">
      <c r="A7" s="9" t="inlineStr">
        <is>
          <t>Heavy crew (power users dominate)</t>
        </is>
      </c>
      <c r="B7" s="13" t="n">
        <v>0.2</v>
      </c>
      <c r="C7" s="13" t="n">
        <v>0.3</v>
      </c>
      <c r="D7" s="13" t="n">
        <v>0.45</v>
      </c>
      <c r="E7" s="13" t="n">
        <v>0.05</v>
      </c>
      <c r="F7" s="17">
        <f>B7*0.30+C7*0.65+D7*0.95+E7*0.10</f>
        <v/>
      </c>
      <c r="G7" s="25">
        <f>(1000*SUMPRODUCT('Per-Tier Unit Economics'!B5:B11+'Per-Tier Unit Economics'!F5:F11,'README &amp; Assumptions'!B34:B40))-(1000*SUMPRODUCT('User Behavior'!B17:B23,'README &amp; Assumptions'!B34:B40)*'README &amp; Assumptions'!C29*F7)-(1000*'README &amp; Assumptions'!B50)</f>
        <v/>
      </c>
      <c r="H7" s="26">
        <f>IFERROR(G7/(1000*SUMPRODUCT('Per-Tier Unit Economics'!B5:B11+'Per-Tier Unit Economics'!F5:F11,'README &amp; Assumptions'!B34:B40)),0)</f>
        <v/>
      </c>
    </row>
    <row r="8">
      <c r="A8" s="9" t="inlineStr">
        <is>
          <t>High churn (bad acquisition)</t>
        </is>
      </c>
      <c r="B8" s="13" t="n">
        <v>0.3</v>
      </c>
      <c r="C8" s="13" t="n">
        <v>0.25</v>
      </c>
      <c r="D8" s="13" t="n">
        <v>0.15</v>
      </c>
      <c r="E8" s="13" t="n">
        <v>0.3</v>
      </c>
      <c r="F8" s="17">
        <f>B8*0.30+C8*0.65+D8*0.95+E8*0.10</f>
        <v/>
      </c>
      <c r="G8" s="25">
        <f>(1000*SUMPRODUCT('Per-Tier Unit Economics'!B5:B11+'Per-Tier Unit Economics'!F5:F11,'README &amp; Assumptions'!B34:B40))-(1000*SUMPRODUCT('User Behavior'!B17:B23,'README &amp; Assumptions'!B34:B40)*'README &amp; Assumptions'!C29*F8)-(1000*'README &amp; Assumptions'!B50)</f>
        <v/>
      </c>
      <c r="H8" s="26">
        <f>IFERROR(G8/(1000*SUMPRODUCT('Per-Tier Unit Economics'!B5:B11+'Per-Tier Unit Economics'!F5:F11,'README &amp; Assumptions'!B34:B40)),0)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LTV / CAC + Per-Tier Churn</t>
        </is>
      </c>
    </row>
    <row r="2">
      <c r="A2" s="14" t="inlineStr">
        <is>
          <t>How much can we spend to acquire each tier? LTV:CAC &gt; 3 is investable, &gt; 5 is excellent.</t>
        </is>
      </c>
    </row>
    <row r="4">
      <c r="A4" s="3" t="inlineStr">
        <is>
          <t>PER-TIER MONTHLY CHURN</t>
        </is>
      </c>
    </row>
    <row r="5">
      <c r="A5" s="8" t="inlineStr">
        <is>
          <t>Tier</t>
        </is>
      </c>
      <c r="B5" s="8" t="inlineStr">
        <is>
          <t>Monthly Churn %</t>
        </is>
      </c>
      <c r="C5" s="8" t="inlineStr">
        <is>
          <t>Avg Lifetime (mo)</t>
        </is>
      </c>
      <c r="D5" s="8" t="inlineStr">
        <is>
          <t>Notes</t>
        </is>
      </c>
    </row>
    <row r="6">
      <c r="A6" s="9" t="inlineStr">
        <is>
          <t>Economy</t>
        </is>
      </c>
      <c r="B6" s="29" t="n">
        <v>0.3</v>
      </c>
      <c r="C6" s="20">
        <f>IFERROR(1/B6,0)</f>
        <v/>
      </c>
      <c r="D6" s="14" t="inlineStr">
        <is>
          <t>1-month casuals, trial users</t>
        </is>
      </c>
    </row>
    <row r="7">
      <c r="A7" s="9" t="inlineStr">
        <is>
          <t>Roster Bundle</t>
        </is>
      </c>
      <c r="B7" s="29" t="n">
        <v>0.08</v>
      </c>
      <c r="C7" s="20">
        <f>IFERROR(1/B7,0)</f>
        <v/>
      </c>
      <c r="D7" s="14" t="inlineStr">
        <is>
          <t>Sticky once roster sync set up</t>
        </is>
      </c>
    </row>
    <row r="8">
      <c r="A8" s="9" t="inlineStr">
        <is>
          <t>Premium Economy</t>
        </is>
      </c>
      <c r="B8" s="29" t="n">
        <v>0.12</v>
      </c>
      <c r="C8" s="20">
        <f>IFERROR(1/B8,0)</f>
        <v/>
      </c>
      <c r="D8" s="14" t="inlineStr">
        <is>
          <t>Light commitment</t>
        </is>
      </c>
    </row>
    <row r="9">
      <c r="A9" s="9" t="inlineStr">
        <is>
          <t>Business</t>
        </is>
      </c>
      <c r="B9" s="29" t="n">
        <v>0.06</v>
      </c>
      <c r="C9" s="20">
        <f>IFERROR(1/B9,0)</f>
        <v/>
      </c>
      <c r="D9" s="14" t="inlineStr">
        <is>
          <t>Pool habit forms, high retention</t>
        </is>
      </c>
    </row>
    <row r="10">
      <c r="A10" s="9" t="inlineStr">
        <is>
          <t>First</t>
        </is>
      </c>
      <c r="B10" s="29" t="n">
        <v>0.04</v>
      </c>
      <c r="C10" s="20">
        <f>IFERROR(1/B10,0)</f>
        <v/>
      </c>
      <c r="D10" s="14" t="inlineStr">
        <is>
          <t>Power users, perks lock in</t>
        </is>
      </c>
    </row>
    <row r="11">
      <c r="A11" s="9" t="inlineStr">
        <is>
          <t>Cockpit</t>
        </is>
      </c>
      <c r="B11" s="29" t="n">
        <v>0.03</v>
      </c>
      <c r="C11" s="20">
        <f>IFERROR(1/B11,0)</f>
        <v/>
      </c>
      <c r="D11" s="14" t="inlineStr">
        <is>
          <t>Annual prepay = automatic 12-mo retention</t>
        </is>
      </c>
    </row>
    <row r="12">
      <c r="A12" s="9" t="inlineStr">
        <is>
          <t>Refuel (add-on)</t>
        </is>
      </c>
      <c r="B12" s="29" t="n">
        <v>0.15</v>
      </c>
      <c r="C12" s="20">
        <f>IFERROR(1/B12,0)</f>
        <v/>
      </c>
      <c r="D12" s="14" t="inlineStr">
        <is>
          <t>Per-purchase, no subscription</t>
        </is>
      </c>
    </row>
    <row r="15">
      <c r="A15" s="3" t="inlineStr">
        <is>
          <t>CUSTOMER ACQUISITION COST (per-channel blended avg)</t>
        </is>
      </c>
    </row>
    <row r="16">
      <c r="A16" s="8" t="inlineStr">
        <is>
          <t>Channel</t>
        </is>
      </c>
      <c r="B16" s="8" t="inlineStr">
        <is>
          <t>% of Acquisition</t>
        </is>
      </c>
      <c r="C16" s="8" t="inlineStr">
        <is>
          <t>$ CAC</t>
        </is>
      </c>
      <c r="D16" s="8" t="inlineStr">
        <is>
          <t>Notes</t>
        </is>
      </c>
    </row>
    <row r="17">
      <c r="A17" s="9" t="inlineStr">
        <is>
          <t>Organic / word-of-mouth</t>
        </is>
      </c>
      <c r="B17" s="13" t="n">
        <v>0.5</v>
      </c>
      <c r="C17" s="28" t="n">
        <v>0</v>
      </c>
      <c r="D17" s="14" t="inlineStr">
        <is>
          <t>Crew network referrals — free</t>
        </is>
      </c>
    </row>
    <row r="18">
      <c r="A18" s="9" t="inlineStr">
        <is>
          <t>Referral bonus ($5 credit)</t>
        </is>
      </c>
      <c r="B18" s="13" t="n">
        <v>0.25</v>
      </c>
      <c r="C18" s="28" t="n">
        <v>5</v>
      </c>
      <c r="D18" s="14" t="inlineStr">
        <is>
          <t>Existing user refers</t>
        </is>
      </c>
    </row>
    <row r="19">
      <c r="A19" s="9" t="inlineStr">
        <is>
          <t>Paid social (IG/TikTok)</t>
        </is>
      </c>
      <c r="B19" s="13" t="n">
        <v>0.15</v>
      </c>
      <c r="C19" s="28" t="n">
        <v>12</v>
      </c>
      <c r="D19" s="14" t="inlineStr">
        <is>
          <t>Cold acquisition</t>
        </is>
      </c>
    </row>
    <row r="20">
      <c r="A20" s="9" t="inlineStr">
        <is>
          <t>Influencer / crew creator</t>
        </is>
      </c>
      <c r="B20" s="13" t="n">
        <v>0.1</v>
      </c>
      <c r="C20" s="28" t="n">
        <v>8</v>
      </c>
      <c r="D20" s="14" t="inlineStr">
        <is>
          <t>Paid sponsorship to @crew_illust et al</t>
        </is>
      </c>
    </row>
    <row r="22">
      <c r="A22" s="9" t="inlineStr">
        <is>
          <t>BLENDED CAC</t>
        </is>
      </c>
      <c r="C22" s="11">
        <f>SUMPRODUCT(B17:B20,C17:C20)</f>
        <v/>
      </c>
    </row>
    <row r="25">
      <c r="A25" s="3" t="inlineStr">
        <is>
          <t>LTV / CAC PER TIER (Gross Profit × Lifetime ÷ CAC)</t>
        </is>
      </c>
    </row>
    <row r="26">
      <c r="A26" s="8" t="inlineStr">
        <is>
          <t>Tier</t>
        </is>
      </c>
      <c r="B26" s="8" t="inlineStr">
        <is>
          <t>Gross Profit/mo</t>
        </is>
      </c>
      <c r="C26" s="8" t="inlineStr">
        <is>
          <t>Lifetime (mo)</t>
        </is>
      </c>
      <c r="D26" s="8" t="inlineStr">
        <is>
          <t>LTV</t>
        </is>
      </c>
      <c r="E26" s="8" t="inlineStr">
        <is>
          <t>CAC</t>
        </is>
      </c>
      <c r="F26" s="8" t="inlineStr">
        <is>
          <t>LTV:CAC</t>
        </is>
      </c>
      <c r="G26" s="8" t="inlineStr">
        <is>
          <t>Payback (mo)</t>
        </is>
      </c>
      <c r="H26" s="8" t="inlineStr">
        <is>
          <t>Verdict</t>
        </is>
      </c>
    </row>
    <row r="27">
      <c r="A27" s="9" t="inlineStr">
        <is>
          <t>Economy</t>
        </is>
      </c>
      <c r="B27" s="21">
        <f>'Per-Tier Unit Economics'!I5</f>
        <v/>
      </c>
      <c r="C27" s="20">
        <f>C6</f>
        <v/>
      </c>
      <c r="D27" s="22">
        <f>B27*C27</f>
        <v/>
      </c>
      <c r="E27" s="21">
        <f>$C$22</f>
        <v/>
      </c>
      <c r="F27" s="30">
        <f>IFERROR(D27/E27,0)</f>
        <v/>
      </c>
      <c r="G27" s="20">
        <f>IFERROR(E27/B27,0)</f>
        <v/>
      </c>
      <c r="H27" s="9">
        <f>IF(F27&gt;=5,"Excellent",IF(F27&gt;=3,"Investable",IF(F27&gt;=1,"Marginal","Loss")))</f>
        <v/>
      </c>
    </row>
    <row r="28">
      <c r="A28" s="9" t="inlineStr">
        <is>
          <t>Roster Bundle</t>
        </is>
      </c>
      <c r="B28" s="21">
        <f>'Per-Tier Unit Economics'!I6</f>
        <v/>
      </c>
      <c r="C28" s="20">
        <f>C7</f>
        <v/>
      </c>
      <c r="D28" s="22">
        <f>B28*C28</f>
        <v/>
      </c>
      <c r="E28" s="21">
        <f>$C$22</f>
        <v/>
      </c>
      <c r="F28" s="30">
        <f>IFERROR(D28/E28,0)</f>
        <v/>
      </c>
      <c r="G28" s="20">
        <f>IFERROR(E28/B28,0)</f>
        <v/>
      </c>
      <c r="H28" s="9">
        <f>IF(F28&gt;=5,"Excellent",IF(F28&gt;=3,"Investable",IF(F28&gt;=1,"Marginal","Loss")))</f>
        <v/>
      </c>
    </row>
    <row r="29">
      <c r="A29" s="9" t="inlineStr">
        <is>
          <t>Premium Economy</t>
        </is>
      </c>
      <c r="B29" s="21">
        <f>'Per-Tier Unit Economics'!I7</f>
        <v/>
      </c>
      <c r="C29" s="20">
        <f>C8</f>
        <v/>
      </c>
      <c r="D29" s="22">
        <f>B29*C29</f>
        <v/>
      </c>
      <c r="E29" s="21">
        <f>$C$22</f>
        <v/>
      </c>
      <c r="F29" s="30">
        <f>IFERROR(D29/E29,0)</f>
        <v/>
      </c>
      <c r="G29" s="20">
        <f>IFERROR(E29/B29,0)</f>
        <v/>
      </c>
      <c r="H29" s="9">
        <f>IF(F29&gt;=5,"Excellent",IF(F29&gt;=3,"Investable",IF(F29&gt;=1,"Marginal","Loss")))</f>
        <v/>
      </c>
    </row>
    <row r="30">
      <c r="A30" s="9" t="inlineStr">
        <is>
          <t>Business</t>
        </is>
      </c>
      <c r="B30" s="21">
        <f>'Per-Tier Unit Economics'!I8</f>
        <v/>
      </c>
      <c r="C30" s="20">
        <f>C9</f>
        <v/>
      </c>
      <c r="D30" s="22">
        <f>B30*C30</f>
        <v/>
      </c>
      <c r="E30" s="21">
        <f>$C$22</f>
        <v/>
      </c>
      <c r="F30" s="30">
        <f>IFERROR(D30/E30,0)</f>
        <v/>
      </c>
      <c r="G30" s="20">
        <f>IFERROR(E30/B30,0)</f>
        <v/>
      </c>
      <c r="H30" s="9">
        <f>IF(F30&gt;=5,"Excellent",IF(F30&gt;=3,"Investable",IF(F30&gt;=1,"Marginal","Loss")))</f>
        <v/>
      </c>
    </row>
    <row r="31">
      <c r="A31" s="9" t="inlineStr">
        <is>
          <t>First</t>
        </is>
      </c>
      <c r="B31" s="21">
        <f>'Per-Tier Unit Economics'!I9</f>
        <v/>
      </c>
      <c r="C31" s="20">
        <f>C10</f>
        <v/>
      </c>
      <c r="D31" s="22">
        <f>B31*C31</f>
        <v/>
      </c>
      <c r="E31" s="21">
        <f>$C$22</f>
        <v/>
      </c>
      <c r="F31" s="30">
        <f>IFERROR(D31/E31,0)</f>
        <v/>
      </c>
      <c r="G31" s="20">
        <f>IFERROR(E31/B31,0)</f>
        <v/>
      </c>
      <c r="H31" s="9">
        <f>IF(F31&gt;=5,"Excellent",IF(F31&gt;=3,"Investable",IF(F31&gt;=1,"Marginal","Loss")))</f>
        <v/>
      </c>
    </row>
    <row r="32">
      <c r="A32" s="9" t="inlineStr">
        <is>
          <t>Cockpit</t>
        </is>
      </c>
      <c r="B32" s="21">
        <f>'Per-Tier Unit Economics'!I10</f>
        <v/>
      </c>
      <c r="C32" s="20">
        <f>C11</f>
        <v/>
      </c>
      <c r="D32" s="22">
        <f>B32*C32</f>
        <v/>
      </c>
      <c r="E32" s="21">
        <f>$C$22</f>
        <v/>
      </c>
      <c r="F32" s="30">
        <f>IFERROR(D32/E32,0)</f>
        <v/>
      </c>
      <c r="G32" s="20">
        <f>IFERROR(E32/B32,0)</f>
        <v/>
      </c>
      <c r="H32" s="9">
        <f>IF(F32&gt;=5,"Excellent",IF(F32&gt;=3,"Investable",IF(F32&gt;=1,"Marginal","Loss")))</f>
        <v/>
      </c>
    </row>
    <row r="33">
      <c r="A33" s="9" t="inlineStr">
        <is>
          <t>Refuel</t>
        </is>
      </c>
      <c r="B33" s="21">
        <f>'Per-Tier Unit Economics'!I11</f>
        <v/>
      </c>
      <c r="C33" s="20">
        <f>C12</f>
        <v/>
      </c>
      <c r="D33" s="22">
        <f>B33*C33</f>
        <v/>
      </c>
      <c r="E33" s="21">
        <f>$C$22</f>
        <v/>
      </c>
      <c r="F33" s="30">
        <f>IFERROR(D33/E33,0)</f>
        <v/>
      </c>
      <c r="G33" s="20">
        <f>IFERROR(E33/B33,0)</f>
        <v/>
      </c>
      <c r="H33" s="9">
        <f>IF(F33&gt;=5,"Excellent",IF(F33&gt;=3,"Investable",IF(F33&gt;=1,"Marginal","Loss")))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Per-Tier Geo Mix — different tiers fly different routes</t>
        </is>
      </c>
    </row>
    <row r="2">
      <c r="A2" s="14" t="inlineStr">
        <is>
          <t>Roster Bundle users fly mostly crew layover countries (Tier-A). Economy users vacation in Tier-C (Bali/Maldives).</t>
        </is>
      </c>
    </row>
    <row r="4">
      <c r="A4" s="8" t="inlineStr">
        <is>
          <t>Tier</t>
        </is>
      </c>
      <c r="B4" s="8" t="inlineStr">
        <is>
          <t>% Tier-A (cheap)</t>
        </is>
      </c>
      <c r="C4" s="8" t="inlineStr">
        <is>
          <t>% Tier-B (medium)</t>
        </is>
      </c>
      <c r="D4" s="8" t="inlineStr">
        <is>
          <t>% Tier-C (expensive)</t>
        </is>
      </c>
      <c r="E4" s="8" t="inlineStr">
        <is>
          <t>Effective Cost/GB</t>
        </is>
      </c>
      <c r="F4" s="8" t="inlineStr">
        <is>
          <t>Margin vs Default</t>
        </is>
      </c>
    </row>
    <row r="5">
      <c r="A5" s="9" t="inlineStr">
        <is>
          <t>Economy</t>
        </is>
      </c>
      <c r="B5" s="13" t="n">
        <v>0.3</v>
      </c>
      <c r="C5" s="13" t="n">
        <v>0.3</v>
      </c>
      <c r="D5" s="13" t="n">
        <v>0.4</v>
      </c>
      <c r="E5" s="11">
        <f>B5*'README &amp; Assumptions'!C25+C5*'README &amp; Assumptions'!C26+D5*'README &amp; Assumptions'!C27</f>
        <v/>
      </c>
      <c r="F5" s="11">
        <f>'README &amp; Assumptions'!C29-E5</f>
        <v/>
      </c>
    </row>
    <row r="6">
      <c r="A6" s="9" t="inlineStr">
        <is>
          <t>Roster Bundle</t>
        </is>
      </c>
      <c r="B6" s="13" t="n">
        <v>0.7</v>
      </c>
      <c r="C6" s="13" t="n">
        <v>0.25</v>
      </c>
      <c r="D6" s="13" t="n">
        <v>0.05</v>
      </c>
      <c r="E6" s="11">
        <f>B6*'README &amp; Assumptions'!C25+C6*'README &amp; Assumptions'!C26+D6*'README &amp; Assumptions'!C27</f>
        <v/>
      </c>
      <c r="F6" s="11">
        <f>'README &amp; Assumptions'!C29-E6</f>
        <v/>
      </c>
    </row>
    <row r="7">
      <c r="A7" s="9" t="inlineStr">
        <is>
          <t>Premium Economy</t>
        </is>
      </c>
      <c r="B7" s="13" t="n">
        <v>0.55</v>
      </c>
      <c r="C7" s="13" t="n">
        <v>0.3</v>
      </c>
      <c r="D7" s="13" t="n">
        <v>0.15</v>
      </c>
      <c r="E7" s="11">
        <f>B7*'README &amp; Assumptions'!C25+C7*'README &amp; Assumptions'!C26+D7*'README &amp; Assumptions'!C27</f>
        <v/>
      </c>
      <c r="F7" s="11">
        <f>'README &amp; Assumptions'!C29-E7</f>
        <v/>
      </c>
    </row>
    <row r="8">
      <c r="A8" s="9" t="inlineStr">
        <is>
          <t>Business</t>
        </is>
      </c>
      <c r="B8" s="13" t="n">
        <v>0.6</v>
      </c>
      <c r="C8" s="13" t="n">
        <v>0.25</v>
      </c>
      <c r="D8" s="13" t="n">
        <v>0.15</v>
      </c>
      <c r="E8" s="11">
        <f>B8*'README &amp; Assumptions'!C25+C8*'README &amp; Assumptions'!C26+D8*'README &amp; Assumptions'!C27</f>
        <v/>
      </c>
      <c r="F8" s="11">
        <f>'README &amp; Assumptions'!C29-E8</f>
        <v/>
      </c>
    </row>
    <row r="9">
      <c r="A9" s="9" t="inlineStr">
        <is>
          <t>First</t>
        </is>
      </c>
      <c r="B9" s="13" t="n">
        <v>0.5</v>
      </c>
      <c r="C9" s="13" t="n">
        <v>0.3</v>
      </c>
      <c r="D9" s="13" t="n">
        <v>0.2</v>
      </c>
      <c r="E9" s="11">
        <f>B9*'README &amp; Assumptions'!C25+C9*'README &amp; Assumptions'!C26+D9*'README &amp; Assumptions'!C27</f>
        <v/>
      </c>
      <c r="F9" s="11">
        <f>'README &amp; Assumptions'!C29-E9</f>
        <v/>
      </c>
    </row>
    <row r="10">
      <c r="A10" s="9" t="inlineStr">
        <is>
          <t>Cockpit</t>
        </is>
      </c>
      <c r="B10" s="13" t="n">
        <v>0.65</v>
      </c>
      <c r="C10" s="13" t="n">
        <v>0.25</v>
      </c>
      <c r="D10" s="13" t="n">
        <v>0.1</v>
      </c>
      <c r="E10" s="11">
        <f>B10*'README &amp; Assumptions'!C25+C10*'README &amp; Assumptions'!C26+D10*'README &amp; Assumptions'!C27</f>
        <v/>
      </c>
      <c r="F10" s="11">
        <f>'README &amp; Assumptions'!C29-E10</f>
        <v/>
      </c>
    </row>
    <row r="11">
      <c r="A11" s="9" t="inlineStr">
        <is>
          <t>Refuel</t>
        </is>
      </c>
      <c r="B11" s="13" t="n">
        <v>0.6</v>
      </c>
      <c r="C11" s="13" t="n">
        <v>0.25</v>
      </c>
      <c r="D11" s="13" t="n">
        <v>0.15</v>
      </c>
      <c r="E11" s="11">
        <f>B11*'README &amp; Assumptions'!C25+C11*'README &amp; Assumptions'!C26+D11*'README &amp; Assumptions'!C27</f>
        <v/>
      </c>
      <c r="F11" s="11">
        <f>'README &amp; Assumptions'!C29-E11</f>
        <v/>
      </c>
    </row>
    <row r="13">
      <c r="A13" s="3" t="inlineStr">
        <is>
          <t>REVISED PER-TIER GROSS MARGIN (with tier-specific geo mix)</t>
        </is>
      </c>
    </row>
    <row r="14">
      <c r="A14" s="8" t="inlineStr">
        <is>
          <t>Tier</t>
        </is>
      </c>
      <c r="B14" s="8" t="inlineStr">
        <is>
          <t>Monthly Revenue</t>
        </is>
      </c>
      <c r="C14" s="8" t="inlineStr">
        <is>
          <t>GB Consumed</t>
        </is>
      </c>
      <c r="D14" s="8" t="inlineStr">
        <is>
          <t>Effective $/GB</t>
        </is>
      </c>
      <c r="E14" s="8" t="inlineStr">
        <is>
          <t>Adjusted COGS</t>
        </is>
      </c>
      <c r="F14" s="8" t="inlineStr">
        <is>
          <t>Gross Profit</t>
        </is>
      </c>
      <c r="G14" s="8" t="inlineStr">
        <is>
          <t>Margin %</t>
        </is>
      </c>
      <c r="H14" s="8" t="inlineStr">
        <is>
          <t>vs Default</t>
        </is>
      </c>
    </row>
    <row r="15">
      <c r="A15" s="9" t="inlineStr">
        <is>
          <t>Economy</t>
        </is>
      </c>
      <c r="B15" s="21">
        <f>'Per-Tier Unit Economics'!B5</f>
        <v/>
      </c>
      <c r="C15" s="18">
        <f>'Per-Tier Unit Economics'!C5</f>
        <v/>
      </c>
      <c r="D15" s="21">
        <f>E5</f>
        <v/>
      </c>
      <c r="E15" s="11">
        <f>C15*D15</f>
        <v/>
      </c>
      <c r="F15" s="22">
        <f>B15-E15</f>
        <v/>
      </c>
      <c r="G15" s="17">
        <f>IFERROR(F15/B15,0)</f>
        <v/>
      </c>
      <c r="H15" s="31">
        <f>F15-'Per-Tier Unit Economics'!I5</f>
        <v/>
      </c>
    </row>
    <row r="16">
      <c r="A16" s="9" t="inlineStr">
        <is>
          <t>Roster Bundle</t>
        </is>
      </c>
      <c r="B16" s="21">
        <f>'Per-Tier Unit Economics'!B6</f>
        <v/>
      </c>
      <c r="C16" s="18">
        <f>'Per-Tier Unit Economics'!C6</f>
        <v/>
      </c>
      <c r="D16" s="21">
        <f>E6</f>
        <v/>
      </c>
      <c r="E16" s="11">
        <f>C16*D16</f>
        <v/>
      </c>
      <c r="F16" s="22">
        <f>B16-E16</f>
        <v/>
      </c>
      <c r="G16" s="17">
        <f>IFERROR(F16/B16,0)</f>
        <v/>
      </c>
      <c r="H16" s="31">
        <f>F16-'Per-Tier Unit Economics'!I6</f>
        <v/>
      </c>
    </row>
    <row r="17">
      <c r="A17" s="9" t="inlineStr">
        <is>
          <t>Premium Economy</t>
        </is>
      </c>
      <c r="B17" s="21">
        <f>'Per-Tier Unit Economics'!B7</f>
        <v/>
      </c>
      <c r="C17" s="18">
        <f>'Per-Tier Unit Economics'!C7</f>
        <v/>
      </c>
      <c r="D17" s="21">
        <f>E7</f>
        <v/>
      </c>
      <c r="E17" s="11">
        <f>C17*D17</f>
        <v/>
      </c>
      <c r="F17" s="22">
        <f>B17-E17</f>
        <v/>
      </c>
      <c r="G17" s="17">
        <f>IFERROR(F17/B17,0)</f>
        <v/>
      </c>
      <c r="H17" s="31">
        <f>F17-'Per-Tier Unit Economics'!I7</f>
        <v/>
      </c>
    </row>
    <row r="18">
      <c r="A18" s="9" t="inlineStr">
        <is>
          <t>Business</t>
        </is>
      </c>
      <c r="B18" s="21">
        <f>'Per-Tier Unit Economics'!B8</f>
        <v/>
      </c>
      <c r="C18" s="18">
        <f>'Per-Tier Unit Economics'!C8</f>
        <v/>
      </c>
      <c r="D18" s="21">
        <f>E8</f>
        <v/>
      </c>
      <c r="E18" s="11">
        <f>C18*D18</f>
        <v/>
      </c>
      <c r="F18" s="22">
        <f>B18-E18</f>
        <v/>
      </c>
      <c r="G18" s="17">
        <f>IFERROR(F18/B18,0)</f>
        <v/>
      </c>
      <c r="H18" s="31">
        <f>F18-'Per-Tier Unit Economics'!I8</f>
        <v/>
      </c>
    </row>
    <row r="19">
      <c r="A19" s="9" t="inlineStr">
        <is>
          <t>First</t>
        </is>
      </c>
      <c r="B19" s="21">
        <f>'Per-Tier Unit Economics'!B9</f>
        <v/>
      </c>
      <c r="C19" s="18">
        <f>'Per-Tier Unit Economics'!C9</f>
        <v/>
      </c>
      <c r="D19" s="21">
        <f>E9</f>
        <v/>
      </c>
      <c r="E19" s="11">
        <f>C19*D19</f>
        <v/>
      </c>
      <c r="F19" s="22">
        <f>B19-E19</f>
        <v/>
      </c>
      <c r="G19" s="17">
        <f>IFERROR(F19/B19,0)</f>
        <v/>
      </c>
      <c r="H19" s="31">
        <f>F19-'Per-Tier Unit Economics'!I9</f>
        <v/>
      </c>
    </row>
    <row r="20">
      <c r="A20" s="9" t="inlineStr">
        <is>
          <t>Cockpit</t>
        </is>
      </c>
      <c r="B20" s="21">
        <f>'Per-Tier Unit Economics'!B10</f>
        <v/>
      </c>
      <c r="C20" s="18">
        <f>'Per-Tier Unit Economics'!C10</f>
        <v/>
      </c>
      <c r="D20" s="21">
        <f>E10</f>
        <v/>
      </c>
      <c r="E20" s="11">
        <f>C20*D20</f>
        <v/>
      </c>
      <c r="F20" s="22">
        <f>B20-E20</f>
        <v/>
      </c>
      <c r="G20" s="17">
        <f>IFERROR(F20/B20,0)</f>
        <v/>
      </c>
      <c r="H20" s="31">
        <f>F20-'Per-Tier Unit Economics'!I10</f>
        <v/>
      </c>
    </row>
    <row r="21">
      <c r="A21" s="9" t="inlineStr">
        <is>
          <t>Refuel</t>
        </is>
      </c>
      <c r="B21" s="21">
        <f>'Per-Tier Unit Economics'!B11</f>
        <v/>
      </c>
      <c r="C21" s="18">
        <f>'Per-Tier Unit Economics'!C11</f>
        <v/>
      </c>
      <c r="D21" s="21">
        <f>E11</f>
        <v/>
      </c>
      <c r="E21" s="11">
        <f>C21*D21</f>
        <v/>
      </c>
      <c r="F21" s="22">
        <f>B21-E21</f>
        <v/>
      </c>
      <c r="G21" s="17">
        <f>IFERROR(F21/B21,0)</f>
        <v/>
      </c>
      <c r="H21" s="31">
        <f>F21-'Per-Tier Unit Economics'!I11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22" customWidth="1" min="5" max="5"/>
    <col width="16" customWidth="1" min="6" max="6"/>
    <col width="22" customWidth="1" min="7" max="7"/>
  </cols>
  <sheetData>
    <row r="1">
      <c r="A1" s="1" t="inlineStr">
        <is>
          <t>Carryover Liability — GB you owe users</t>
        </is>
      </c>
    </row>
    <row r="2">
      <c r="A2" s="14" t="inlineStr">
        <is>
          <t>Premium/Business/First/Cockpit carry unused GB. At any month you have $ liability if everyone redeems together.</t>
        </is>
      </c>
    </row>
    <row r="4">
      <c r="A4" s="3" t="inlineStr">
        <is>
          <t>PER-TIER CARRYOVER (per user per month)</t>
        </is>
      </c>
    </row>
    <row r="5">
      <c r="A5" s="8" t="inlineStr">
        <is>
          <t>Tier</t>
        </is>
      </c>
      <c r="B5" s="8" t="inlineStr">
        <is>
          <t>GB Pool</t>
        </is>
      </c>
      <c r="C5" s="8" t="inlineStr">
        <is>
          <t>% Consumed</t>
        </is>
      </c>
      <c r="D5" s="8" t="inlineStr">
        <is>
          <t>GB Unused</t>
        </is>
      </c>
      <c r="E5" s="8" t="inlineStr">
        <is>
          <t>Carry %</t>
        </is>
      </c>
      <c r="F5" s="8" t="inlineStr">
        <is>
          <t>GB Carried/mo</t>
        </is>
      </c>
      <c r="G5" s="8" t="inlineStr">
        <is>
          <t>$ Liability per user</t>
        </is>
      </c>
    </row>
    <row r="6">
      <c r="A6" s="9" t="inlineStr">
        <is>
          <t>Economy</t>
        </is>
      </c>
      <c r="B6" s="18">
        <f>'README &amp; Assumptions'!D14</f>
        <v/>
      </c>
      <c r="C6" s="19">
        <f>'User Behavior'!C11</f>
        <v/>
      </c>
      <c r="D6" s="20">
        <f>B6*(1-C6)</f>
        <v/>
      </c>
      <c r="E6" s="32">
        <f>'README &amp; Assumptions'!E14</f>
        <v/>
      </c>
      <c r="F6" s="20">
        <f>D6*E6</f>
        <v/>
      </c>
      <c r="G6" s="22">
        <f>F6*'README &amp; Assumptions'!C29</f>
        <v/>
      </c>
    </row>
    <row r="7">
      <c r="A7" s="9" t="inlineStr">
        <is>
          <t>Roster Bundle</t>
        </is>
      </c>
      <c r="B7" s="18">
        <f>'README &amp; Assumptions'!D15</f>
        <v/>
      </c>
      <c r="C7" s="19">
        <f>'User Behavior'!C11</f>
        <v/>
      </c>
      <c r="D7" s="20">
        <f>B7*(1-C7)</f>
        <v/>
      </c>
      <c r="E7" s="32">
        <f>'README &amp; Assumptions'!E15</f>
        <v/>
      </c>
      <c r="F7" s="20">
        <f>D7*E7</f>
        <v/>
      </c>
      <c r="G7" s="22">
        <f>F7*'README &amp; Assumptions'!C29</f>
        <v/>
      </c>
    </row>
    <row r="8">
      <c r="A8" s="9" t="inlineStr">
        <is>
          <t>Premium Economy</t>
        </is>
      </c>
      <c r="B8" s="18">
        <f>'README &amp; Assumptions'!D16</f>
        <v/>
      </c>
      <c r="C8" s="19">
        <f>'User Behavior'!C11</f>
        <v/>
      </c>
      <c r="D8" s="20">
        <f>B8*(1-C8)</f>
        <v/>
      </c>
      <c r="E8" s="32">
        <f>'README &amp; Assumptions'!E16</f>
        <v/>
      </c>
      <c r="F8" s="20">
        <f>D8*E8</f>
        <v/>
      </c>
      <c r="G8" s="22">
        <f>F8*'README &amp; Assumptions'!C29</f>
        <v/>
      </c>
    </row>
    <row r="9">
      <c r="A9" s="9" t="inlineStr">
        <is>
          <t>Business</t>
        </is>
      </c>
      <c r="B9" s="18">
        <f>'README &amp; Assumptions'!D17</f>
        <v/>
      </c>
      <c r="C9" s="19">
        <f>'User Behavior'!C11</f>
        <v/>
      </c>
      <c r="D9" s="20">
        <f>B9*(1-C9)</f>
        <v/>
      </c>
      <c r="E9" s="32">
        <f>'README &amp; Assumptions'!E17</f>
        <v/>
      </c>
      <c r="F9" s="20">
        <f>D9*E9</f>
        <v/>
      </c>
      <c r="G9" s="22">
        <f>F9*'README &amp; Assumptions'!C29</f>
        <v/>
      </c>
    </row>
    <row r="10">
      <c r="A10" s="9" t="inlineStr">
        <is>
          <t>First</t>
        </is>
      </c>
      <c r="B10" s="18">
        <f>'README &amp; Assumptions'!D18</f>
        <v/>
      </c>
      <c r="C10" s="19">
        <f>'User Behavior'!C11</f>
        <v/>
      </c>
      <c r="D10" s="20">
        <f>B10*(1-C10)</f>
        <v/>
      </c>
      <c r="E10" s="32">
        <f>'README &amp; Assumptions'!E18</f>
        <v/>
      </c>
      <c r="F10" s="20">
        <f>D10*E10</f>
        <v/>
      </c>
      <c r="G10" s="22">
        <f>F10*'README &amp; Assumptions'!C29</f>
        <v/>
      </c>
    </row>
    <row r="11">
      <c r="A11" s="9" t="inlineStr">
        <is>
          <t>Cockpit</t>
        </is>
      </c>
      <c r="B11" s="18">
        <f>'README &amp; Assumptions'!D19</f>
        <v/>
      </c>
      <c r="C11" s="19">
        <f>'User Behavior'!C11</f>
        <v/>
      </c>
      <c r="D11" s="20">
        <f>B11*(1-C11)</f>
        <v/>
      </c>
      <c r="E11" s="32">
        <f>'README &amp; Assumptions'!E19</f>
        <v/>
      </c>
      <c r="F11" s="20">
        <f>D11*E11</f>
        <v/>
      </c>
      <c r="G11" s="22">
        <f>F11*'README &amp; Assumptions'!C29</f>
        <v/>
      </c>
    </row>
    <row r="12">
      <c r="A12" s="9" t="inlineStr">
        <is>
          <t>Refuel</t>
        </is>
      </c>
      <c r="B12" s="18">
        <f>'README &amp; Assumptions'!D20</f>
        <v/>
      </c>
      <c r="C12" s="19">
        <f>'User Behavior'!C11</f>
        <v/>
      </c>
      <c r="D12" s="20">
        <f>B12*(1-C12)</f>
        <v/>
      </c>
      <c r="E12" s="32">
        <f>'README &amp; Assumptions'!E20</f>
        <v/>
      </c>
      <c r="F12" s="20">
        <f>D12*E12</f>
        <v/>
      </c>
      <c r="G12" s="22">
        <f>F12*'README &amp; Assumptions'!C29</f>
        <v/>
      </c>
    </row>
    <row r="15">
      <c r="A15" s="3" t="inlineStr">
        <is>
          <t>CUMULATIVE LIABILITY OVER 12 MONTHS (at base 1,000 users, default mix)</t>
        </is>
      </c>
    </row>
    <row r="16">
      <c r="A16" s="14" t="inlineStr">
        <is>
          <t>Assumes 20%/mo redemption rate. Net accrual = carried - redeemed each month.</t>
        </is>
      </c>
    </row>
    <row r="17">
      <c r="A17" s="8" t="inlineStr">
        <is>
          <t>Month</t>
        </is>
      </c>
      <c r="B17" s="8" t="inlineStr">
        <is>
          <t>New Carryover</t>
        </is>
      </c>
      <c r="C17" s="8" t="inlineStr">
        <is>
          <t>Redeemed</t>
        </is>
      </c>
      <c r="D17" s="8" t="inlineStr">
        <is>
          <t>Net Balance</t>
        </is>
      </c>
      <c r="E17" s="8" t="inlineStr">
        <is>
          <t>$ Value @ blended cost</t>
        </is>
      </c>
    </row>
    <row r="18">
      <c r="A18" s="9" t="inlineStr">
        <is>
          <t>Redemption rate</t>
        </is>
      </c>
      <c r="B18" s="13" t="n">
        <v>0.2</v>
      </c>
    </row>
    <row r="19">
      <c r="A19" s="9" t="inlineStr">
        <is>
          <t>M1</t>
        </is>
      </c>
      <c r="B19" s="20">
        <f>1000*SUMPRODUCT(F6:F12,'README &amp; Assumptions'!B34:B40)</f>
        <v/>
      </c>
      <c r="C19" s="20">
        <f>0</f>
        <v/>
      </c>
      <c r="D19" s="33">
        <f>B19-C19</f>
        <v/>
      </c>
      <c r="E19" s="25">
        <f>D19*'README &amp; Assumptions'!C29</f>
        <v/>
      </c>
    </row>
    <row r="20">
      <c r="A20" s="9" t="inlineStr">
        <is>
          <t>M2</t>
        </is>
      </c>
      <c r="B20" s="20">
        <f>1000*SUMPRODUCT(F6:F12,'README &amp; Assumptions'!B34:B40)</f>
        <v/>
      </c>
      <c r="C20" s="20">
        <f>D19*$B$18</f>
        <v/>
      </c>
      <c r="D20" s="33">
        <f>D19+B20-C20</f>
        <v/>
      </c>
      <c r="E20" s="25">
        <f>D20*'README &amp; Assumptions'!C29</f>
        <v/>
      </c>
    </row>
    <row r="21">
      <c r="A21" s="9" t="inlineStr">
        <is>
          <t>M3</t>
        </is>
      </c>
      <c r="B21" s="20">
        <f>1000*SUMPRODUCT(F6:F12,'README &amp; Assumptions'!B34:B40)</f>
        <v/>
      </c>
      <c r="C21" s="20">
        <f>D20*$B$18</f>
        <v/>
      </c>
      <c r="D21" s="33">
        <f>D20+B21-C21</f>
        <v/>
      </c>
      <c r="E21" s="25">
        <f>D21*'README &amp; Assumptions'!C29</f>
        <v/>
      </c>
    </row>
    <row r="22">
      <c r="A22" s="9" t="inlineStr">
        <is>
          <t>M4</t>
        </is>
      </c>
      <c r="B22" s="20">
        <f>1000*SUMPRODUCT(F6:F12,'README &amp; Assumptions'!B34:B40)</f>
        <v/>
      </c>
      <c r="C22" s="20">
        <f>D21*$B$18</f>
        <v/>
      </c>
      <c r="D22" s="33">
        <f>D21+B22-C22</f>
        <v/>
      </c>
      <c r="E22" s="25">
        <f>D22*'README &amp; Assumptions'!C29</f>
        <v/>
      </c>
    </row>
    <row r="23">
      <c r="A23" s="9" t="inlineStr">
        <is>
          <t>M5</t>
        </is>
      </c>
      <c r="B23" s="20">
        <f>1000*SUMPRODUCT(F6:F12,'README &amp; Assumptions'!B34:B40)</f>
        <v/>
      </c>
      <c r="C23" s="20">
        <f>D22*$B$18</f>
        <v/>
      </c>
      <c r="D23" s="33">
        <f>D22+B23-C23</f>
        <v/>
      </c>
      <c r="E23" s="25">
        <f>D23*'README &amp; Assumptions'!C29</f>
        <v/>
      </c>
    </row>
    <row r="24">
      <c r="A24" s="9" t="inlineStr">
        <is>
          <t>M6</t>
        </is>
      </c>
      <c r="B24" s="20">
        <f>1000*SUMPRODUCT(F6:F12,'README &amp; Assumptions'!B34:B40)</f>
        <v/>
      </c>
      <c r="C24" s="20">
        <f>D23*$B$18</f>
        <v/>
      </c>
      <c r="D24" s="33">
        <f>D23+B24-C24</f>
        <v/>
      </c>
      <c r="E24" s="25">
        <f>D24*'README &amp; Assumptions'!C29</f>
        <v/>
      </c>
    </row>
    <row r="25">
      <c r="A25" s="9" t="inlineStr">
        <is>
          <t>M7</t>
        </is>
      </c>
      <c r="B25" s="20">
        <f>1000*SUMPRODUCT(F6:F12,'README &amp; Assumptions'!B34:B40)</f>
        <v/>
      </c>
      <c r="C25" s="20">
        <f>D24*$B$18</f>
        <v/>
      </c>
      <c r="D25" s="33">
        <f>D24+B25-C25</f>
        <v/>
      </c>
      <c r="E25" s="25">
        <f>D25*'README &amp; Assumptions'!C29</f>
        <v/>
      </c>
    </row>
    <row r="26">
      <c r="A26" s="9" t="inlineStr">
        <is>
          <t>M8</t>
        </is>
      </c>
      <c r="B26" s="20">
        <f>1000*SUMPRODUCT(F6:F12,'README &amp; Assumptions'!B34:B40)</f>
        <v/>
      </c>
      <c r="C26" s="20">
        <f>D25*$B$18</f>
        <v/>
      </c>
      <c r="D26" s="33">
        <f>D25+B26-C26</f>
        <v/>
      </c>
      <c r="E26" s="25">
        <f>D26*'README &amp; Assumptions'!C29</f>
        <v/>
      </c>
    </row>
    <row r="27">
      <c r="A27" s="9" t="inlineStr">
        <is>
          <t>M9</t>
        </is>
      </c>
      <c r="B27" s="20">
        <f>1000*SUMPRODUCT(F6:F12,'README &amp; Assumptions'!B34:B40)</f>
        <v/>
      </c>
      <c r="C27" s="20">
        <f>D26*$B$18</f>
        <v/>
      </c>
      <c r="D27" s="33">
        <f>D26+B27-C27</f>
        <v/>
      </c>
      <c r="E27" s="25">
        <f>D27*'README &amp; Assumptions'!C29</f>
        <v/>
      </c>
    </row>
    <row r="28">
      <c r="A28" s="9" t="inlineStr">
        <is>
          <t>M10</t>
        </is>
      </c>
      <c r="B28" s="20">
        <f>1000*SUMPRODUCT(F6:F12,'README &amp; Assumptions'!B34:B40)</f>
        <v/>
      </c>
      <c r="C28" s="20">
        <f>D27*$B$18</f>
        <v/>
      </c>
      <c r="D28" s="33">
        <f>D27+B28-C28</f>
        <v/>
      </c>
      <c r="E28" s="25">
        <f>D28*'README &amp; Assumptions'!C29</f>
        <v/>
      </c>
    </row>
    <row r="29">
      <c r="A29" s="9" t="inlineStr">
        <is>
          <t>M11</t>
        </is>
      </c>
      <c r="B29" s="20">
        <f>1000*SUMPRODUCT(F6:F12,'README &amp; Assumptions'!B34:B40)</f>
        <v/>
      </c>
      <c r="C29" s="20">
        <f>D28*$B$18</f>
        <v/>
      </c>
      <c r="D29" s="33">
        <f>D28+B29-C29</f>
        <v/>
      </c>
      <c r="E29" s="25">
        <f>D29*'README &amp; Assumptions'!C29</f>
        <v/>
      </c>
    </row>
    <row r="30">
      <c r="A30" s="9" t="inlineStr">
        <is>
          <t>M12</t>
        </is>
      </c>
      <c r="B30" s="20">
        <f>1000*SUMPRODUCT(F6:F12,'README &amp; Assumptions'!B34:B40)</f>
        <v/>
      </c>
      <c r="C30" s="20">
        <f>D29*$B$18</f>
        <v/>
      </c>
      <c r="D30" s="33">
        <f>D29+B30-C30</f>
        <v/>
      </c>
      <c r="E30" s="25">
        <f>D30*'README &amp; Assumptions'!C29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26" customWidth="1" min="5" max="5"/>
    <col width="26" customWidth="1" min="6" max="6"/>
  </cols>
  <sheetData>
    <row r="1">
      <c r="A1" s="1" t="inlineStr">
        <is>
          <t>Strategic Scenarios — wholesale triggers + multi-airline + competitive floor</t>
        </is>
      </c>
    </row>
    <row r="2">
      <c r="A2" s="14" t="inlineStr">
        <is>
          <t>Year 2-3 planning: when does scale unlock direct wholesale, what does multi-airline look like, where is our pricing floor.</t>
        </is>
      </c>
    </row>
    <row r="4">
      <c r="A4" s="3" t="inlineStr">
        <is>
          <t>WHOLESALE TIER TRIGGERS — what volume unlocks better rates</t>
        </is>
      </c>
    </row>
    <row r="5">
      <c r="A5" s="8" t="inlineStr">
        <is>
          <t>Volume (activations/mo)</t>
        </is>
      </c>
      <c r="B5" s="8" t="inlineStr">
        <is>
          <t>Samurai Markup (assumed)</t>
        </is>
      </c>
      <c r="C5" s="8" t="inlineStr">
        <is>
          <t>Effective Cost vs Default</t>
        </is>
      </c>
      <c r="D5" s="8" t="inlineStr">
        <is>
          <t>Direct eSIM Access</t>
        </is>
      </c>
      <c r="E5" s="8" t="inlineStr">
        <is>
          <t>Better Path</t>
        </is>
      </c>
    </row>
    <row r="6">
      <c r="A6" s="23" t="n">
        <v>1000</v>
      </c>
      <c r="B6" s="13" t="n">
        <v>0.7</v>
      </c>
      <c r="C6" s="17">
        <f>(1+B6)/(1+0.70)</f>
        <v/>
      </c>
      <c r="D6" s="5" t="inlineStr">
        <is>
          <t>$0.55 (60% lower)</t>
        </is>
      </c>
      <c r="E6" s="14" t="inlineStr">
        <is>
          <t>Stay with Samurai (no leverage yet)</t>
        </is>
      </c>
    </row>
    <row r="7">
      <c r="A7" s="23" t="n">
        <v>5000</v>
      </c>
      <c r="B7" s="13" t="n">
        <v>0.55</v>
      </c>
      <c r="C7" s="17">
        <f>(1+B7)/(1+0.70)</f>
        <v/>
      </c>
      <c r="D7" s="5" t="inlineStr">
        <is>
          <t>$0.55 (60% lower)</t>
        </is>
      </c>
      <c r="E7" s="14" t="inlineStr">
        <is>
          <t>Negotiate to 55%</t>
        </is>
      </c>
    </row>
    <row r="8">
      <c r="A8" s="23" t="n">
        <v>10000</v>
      </c>
      <c r="B8" s="13" t="n">
        <v>0.4</v>
      </c>
      <c r="C8" s="17">
        <f>(1+B8)/(1+0.70)</f>
        <v/>
      </c>
      <c r="D8" s="5" t="inlineStr">
        <is>
          <t>$0.55 (60% lower)</t>
        </is>
      </c>
      <c r="E8" s="14" t="inlineStr">
        <is>
          <t>Hit publicly-claimed 40%</t>
        </is>
      </c>
    </row>
    <row r="9">
      <c r="A9" s="23" t="n">
        <v>25000</v>
      </c>
      <c r="B9" s="13" t="n">
        <v>0.3</v>
      </c>
      <c r="C9" s="17">
        <f>(1+B9)/(1+0.70)</f>
        <v/>
      </c>
      <c r="D9" s="5" t="inlineStr">
        <is>
          <t>$0.55 (60% lower)</t>
        </is>
      </c>
      <c r="E9" s="14" t="inlineStr">
        <is>
          <t>Direct eSIM Access becomes equally attractive</t>
        </is>
      </c>
    </row>
    <row r="10">
      <c r="A10" s="23" t="n">
        <v>50000</v>
      </c>
      <c r="B10" s="13" t="n">
        <v>0.2</v>
      </c>
      <c r="C10" s="17">
        <f>(1+B10)/(1+0.70)</f>
        <v/>
      </c>
      <c r="D10" s="5" t="inlineStr">
        <is>
          <t>$0.55 (60% lower)</t>
        </is>
      </c>
      <c r="E10" s="14" t="inlineStr">
        <is>
          <t>Direct eSIM Access strictly cheaper</t>
        </is>
      </c>
    </row>
    <row r="11">
      <c r="A11" s="23" t="n">
        <v>100000</v>
      </c>
      <c r="B11" s="13" t="n">
        <v>0.15</v>
      </c>
      <c r="C11" s="17">
        <f>(1+B11)/(1+0.70)</f>
        <v/>
      </c>
      <c r="D11" s="5" t="inlineStr">
        <is>
          <t>$0.55 (60% lower)</t>
        </is>
      </c>
      <c r="E11" s="14" t="inlineStr">
        <is>
          <t>Direct contracts with MNOs available</t>
        </is>
      </c>
    </row>
    <row r="14">
      <c r="A14" s="3" t="inlineStr">
        <is>
          <t>MULTI-AIRLINE EXPANSION</t>
        </is>
      </c>
    </row>
    <row r="15">
      <c r="A15" s="8" t="inlineStr">
        <is>
          <t>Year</t>
        </is>
      </c>
      <c r="B15" s="8" t="inlineStr">
        <is>
          <t>Airlines</t>
        </is>
      </c>
      <c r="C15" s="8" t="inlineStr">
        <is>
          <t>Volume Multiplier</t>
        </is>
      </c>
      <c r="D15" s="8" t="inlineStr">
        <is>
          <t>Crew Base</t>
        </is>
      </c>
      <c r="E15" s="8" t="inlineStr">
        <is>
          <t>Active Users Estimate</t>
        </is>
      </c>
      <c r="F15" s="8" t="inlineStr">
        <is>
          <t>Annual Revenue Estimate</t>
        </is>
      </c>
    </row>
    <row r="16">
      <c r="A16" s="9" t="inlineStr">
        <is>
          <t>Year 1</t>
        </is>
      </c>
      <c r="B16" s="14" t="inlineStr">
        <is>
          <t>Emirates (DXB)</t>
        </is>
      </c>
      <c r="C16" s="34" t="n">
        <v>1</v>
      </c>
      <c r="D16" s="23" t="n">
        <v>24000</v>
      </c>
      <c r="E16" s="23" t="n">
        <v>1000</v>
      </c>
      <c r="F16" s="25">
        <f>E16*SUMPRODUCT('Per-Tier Unit Economics'!B5:B11+'Per-Tier Unit Economics'!F5:F11,'README &amp; Assumptions'!B34:B40)*12</f>
        <v/>
      </c>
    </row>
    <row r="17">
      <c r="A17" s="9" t="inlineStr">
        <is>
          <t>Year 2</t>
        </is>
      </c>
      <c r="B17" s="14" t="inlineStr">
        <is>
          <t>+ Etihad (AUH), JAL (NRT), ANA (HND)</t>
        </is>
      </c>
      <c r="C17" s="34" t="n">
        <v>3</v>
      </c>
      <c r="D17" s="23" t="n">
        <v>80000</v>
      </c>
      <c r="E17" s="23" t="n">
        <v>6000</v>
      </c>
      <c r="F17" s="25">
        <f>E17*SUMPRODUCT('Per-Tier Unit Economics'!B5:B11+'Per-Tier Unit Economics'!F5:F11,'README &amp; Assumptions'!B34:B40)*12</f>
        <v/>
      </c>
    </row>
    <row r="18">
      <c r="A18" s="9" t="inlineStr">
        <is>
          <t>Year 3</t>
        </is>
      </c>
      <c r="B18" s="14" t="inlineStr">
        <is>
          <t>+ Singapore, Cathay (HKG), Qatar</t>
        </is>
      </c>
      <c r="C18" s="34" t="n">
        <v>5</v>
      </c>
      <c r="D18" s="23" t="n">
        <v>140000</v>
      </c>
      <c r="E18" s="23" t="n">
        <v>18000</v>
      </c>
      <c r="F18" s="25">
        <f>E18*SUMPRODUCT('Per-Tier Unit Economics'!B5:B11+'Per-Tier Unit Economics'!F5:F11,'README &amp; Assumptions'!B34:B40)*12</f>
        <v/>
      </c>
    </row>
    <row r="21">
      <c r="A21" s="3" t="inlineStr">
        <is>
          <t>CREW SIM COMPETITIVE FLOOR — minimum price before tier goes negative</t>
        </is>
      </c>
    </row>
    <row r="22">
      <c r="A22" s="14" t="inlineStr">
        <is>
          <t>Crew SIM publishes rates for 41 countries. If they undercut, our floor = COGS + opex (zero margin)</t>
        </is>
      </c>
    </row>
    <row r="23">
      <c r="A23" s="8" t="inlineStr">
        <is>
          <t>Tier</t>
        </is>
      </c>
      <c r="B23" s="8" t="inlineStr">
        <is>
          <t>Current Retail</t>
        </is>
      </c>
      <c r="C23" s="8" t="inlineStr">
        <is>
          <t>eSIM COGS</t>
        </is>
      </c>
      <c r="D23" s="8" t="inlineStr">
        <is>
          <t>Opex</t>
        </is>
      </c>
      <c r="E23" s="8" t="inlineStr">
        <is>
          <t>Min Viable Price</t>
        </is>
      </c>
      <c r="F23" s="8" t="inlineStr">
        <is>
          <t>Crew SIM Reference</t>
        </is>
      </c>
      <c r="G23" s="8" t="inlineStr">
        <is>
          <t>Margin Cushion</t>
        </is>
      </c>
    </row>
    <row r="24">
      <c r="A24" s="9" t="inlineStr">
        <is>
          <t>Economy</t>
        </is>
      </c>
      <c r="B24" s="21">
        <f>'Per-Tier Unit Economics'!B5</f>
        <v/>
      </c>
      <c r="C24" s="21">
        <f>'Per-Tier Unit Economics'!E5</f>
        <v/>
      </c>
      <c r="D24" s="21">
        <f>'README &amp; Assumptions'!B50</f>
        <v/>
      </c>
      <c r="E24" s="22">
        <f>C24+D24</f>
        <v/>
      </c>
      <c r="F24" s="10" t="n">
        <v>4.99</v>
      </c>
      <c r="G24" s="35">
        <f>F24-E24</f>
        <v/>
      </c>
    </row>
    <row r="25">
      <c r="A25" s="9" t="inlineStr">
        <is>
          <t>Roster Bundle</t>
        </is>
      </c>
      <c r="B25" s="21">
        <f>'Per-Tier Unit Economics'!B6</f>
        <v/>
      </c>
      <c r="C25" s="21">
        <f>'Per-Tier Unit Economics'!E6</f>
        <v/>
      </c>
      <c r="D25" s="21">
        <f>'README &amp; Assumptions'!B50</f>
        <v/>
      </c>
      <c r="E25" s="22">
        <f>C25+D25</f>
        <v/>
      </c>
      <c r="F25" s="10" t="n">
        <v>35</v>
      </c>
      <c r="G25" s="35">
        <f>F25-E25</f>
        <v/>
      </c>
    </row>
    <row r="26">
      <c r="A26" s="9" t="inlineStr">
        <is>
          <t>Premium Economy</t>
        </is>
      </c>
      <c r="B26" s="21">
        <f>'Per-Tier Unit Economics'!B7</f>
        <v/>
      </c>
      <c r="C26" s="21">
        <f>'Per-Tier Unit Economics'!E7</f>
        <v/>
      </c>
      <c r="D26" s="21">
        <f>'README &amp; Assumptions'!B50</f>
        <v/>
      </c>
      <c r="E26" s="22">
        <f>C26+D26</f>
        <v/>
      </c>
      <c r="F26" s="10" t="n">
        <v>12.99</v>
      </c>
      <c r="G26" s="35">
        <f>F26-E26</f>
        <v/>
      </c>
    </row>
    <row r="27">
      <c r="A27" s="9" t="inlineStr">
        <is>
          <t>Business</t>
        </is>
      </c>
      <c r="B27" s="21">
        <f>'Per-Tier Unit Economics'!B8</f>
        <v/>
      </c>
      <c r="C27" s="21">
        <f>'Per-Tier Unit Economics'!E8</f>
        <v/>
      </c>
      <c r="D27" s="21">
        <f>'README &amp; Assumptions'!B50</f>
        <v/>
      </c>
      <c r="E27" s="22">
        <f>C27+D27</f>
        <v/>
      </c>
      <c r="F27" s="10" t="n">
        <v>21.99</v>
      </c>
      <c r="G27" s="35">
        <f>F27-E27</f>
        <v/>
      </c>
    </row>
    <row r="28">
      <c r="A28" s="9" t="inlineStr">
        <is>
          <t>First</t>
        </is>
      </c>
      <c r="B28" s="21">
        <f>'Per-Tier Unit Economics'!B9</f>
        <v/>
      </c>
      <c r="C28" s="21">
        <f>'Per-Tier Unit Economics'!E9</f>
        <v/>
      </c>
      <c r="D28" s="21">
        <f>'README &amp; Assumptions'!B50</f>
        <v/>
      </c>
      <c r="E28" s="22">
        <f>C28+D28</f>
        <v/>
      </c>
      <c r="F28" s="10" t="n">
        <v>39.99</v>
      </c>
      <c r="G28" s="35">
        <f>F28-E28</f>
        <v/>
      </c>
    </row>
    <row r="29">
      <c r="A29" s="9" t="inlineStr">
        <is>
          <t>Cockpit</t>
        </is>
      </c>
      <c r="B29" s="21">
        <f>'Per-Tier Unit Economics'!B10</f>
        <v/>
      </c>
      <c r="C29" s="21">
        <f>'Per-Tier Unit Economics'!E10</f>
        <v/>
      </c>
      <c r="D29" s="21">
        <f>'README &amp; Assumptions'!B50</f>
        <v/>
      </c>
      <c r="E29" s="22">
        <f>C29+D29</f>
        <v/>
      </c>
      <c r="F29" s="10" t="n">
        <v>24.99</v>
      </c>
      <c r="G29" s="35">
        <f>F29-E29</f>
        <v/>
      </c>
    </row>
    <row r="30">
      <c r="A30" s="9" t="inlineStr">
        <is>
          <t>Refuel</t>
        </is>
      </c>
      <c r="B30" s="21">
        <f>'Per-Tier Unit Economics'!B11</f>
        <v/>
      </c>
      <c r="C30" s="21">
        <f>'Per-Tier Unit Economics'!E11</f>
        <v/>
      </c>
      <c r="D30" s="21">
        <f>'README &amp; Assumptions'!B50</f>
        <v/>
      </c>
      <c r="E30" s="22">
        <f>C30+D30</f>
        <v/>
      </c>
      <c r="F30" s="10" t="n">
        <v>5.99</v>
      </c>
      <c r="G30" s="35">
        <f>F30-E30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Cash vs Accrual + Refuel Sensitivity + Failed-eSIM Cost</t>
        </is>
      </c>
    </row>
    <row r="3">
      <c r="A3" s="3" t="inlineStr">
        <is>
          <t>REFUEL ATTACH RATE SENSITIVITY (@ 1,000 users)</t>
        </is>
      </c>
    </row>
    <row r="4">
      <c r="A4" s="8" t="inlineStr">
        <is>
          <t>Refuel Attach %</t>
        </is>
      </c>
      <c r="B4" s="8" t="inlineStr">
        <is>
          <t>Monthly Refuel Revenue</t>
        </is>
      </c>
      <c r="C4" s="8" t="inlineStr">
        <is>
          <t>Monthly Refuel COGS</t>
        </is>
      </c>
      <c r="D4" s="8" t="inlineStr">
        <is>
          <t>Net Refuel Profit</t>
        </is>
      </c>
      <c r="E4" s="8" t="inlineStr">
        <is>
          <t>Net Margin Impact</t>
        </is>
      </c>
    </row>
    <row r="5">
      <c r="A5" s="13" t="n">
        <v>0.05</v>
      </c>
      <c r="B5" s="24">
        <f>1000*5.99*A5</f>
        <v/>
      </c>
      <c r="C5" s="24">
        <f>1000*'README &amp; Assumptions'!C29*A5</f>
        <v/>
      </c>
      <c r="D5" s="25">
        <f>B5-C5</f>
        <v/>
      </c>
      <c r="E5" s="36">
        <f>D5-($D$7)</f>
        <v/>
      </c>
    </row>
    <row r="6">
      <c r="A6" s="13" t="n">
        <v>0.1</v>
      </c>
      <c r="B6" s="24">
        <f>1000*5.99*A6</f>
        <v/>
      </c>
      <c r="C6" s="24">
        <f>1000*'README &amp; Assumptions'!C29*A6</f>
        <v/>
      </c>
      <c r="D6" s="25">
        <f>B6-C6</f>
        <v/>
      </c>
      <c r="E6" s="36">
        <f>D6-($D$7)</f>
        <v/>
      </c>
    </row>
    <row r="7">
      <c r="A7" s="13" t="n">
        <v>0.15</v>
      </c>
      <c r="B7" s="24">
        <f>1000*5.99*A7</f>
        <v/>
      </c>
      <c r="C7" s="24">
        <f>1000*'README &amp; Assumptions'!C29*A7</f>
        <v/>
      </c>
      <c r="D7" s="25">
        <f>B7-C7</f>
        <v/>
      </c>
      <c r="E7" s="36">
        <f>D7-($D$7)</f>
        <v/>
      </c>
    </row>
    <row r="8">
      <c r="A8" s="13" t="n">
        <v>0.2</v>
      </c>
      <c r="B8" s="24">
        <f>1000*5.99*A8</f>
        <v/>
      </c>
      <c r="C8" s="24">
        <f>1000*'README &amp; Assumptions'!C29*A8</f>
        <v/>
      </c>
      <c r="D8" s="25">
        <f>B8-C8</f>
        <v/>
      </c>
      <c r="E8" s="36">
        <f>D8-($D$7)</f>
        <v/>
      </c>
    </row>
    <row r="9">
      <c r="A9" s="13" t="n">
        <v>0.25</v>
      </c>
      <c r="B9" s="24">
        <f>1000*5.99*A9</f>
        <v/>
      </c>
      <c r="C9" s="24">
        <f>1000*'README &amp; Assumptions'!C29*A9</f>
        <v/>
      </c>
      <c r="D9" s="25">
        <f>B9-C9</f>
        <v/>
      </c>
      <c r="E9" s="36">
        <f>D9-($D$7)</f>
        <v/>
      </c>
    </row>
    <row r="10">
      <c r="A10" s="13" t="n">
        <v>0.3</v>
      </c>
      <c r="B10" s="24">
        <f>1000*5.99*A10</f>
        <v/>
      </c>
      <c r="C10" s="24">
        <f>1000*'README &amp; Assumptions'!C29*A10</f>
        <v/>
      </c>
      <c r="D10" s="25">
        <f>B10-C10</f>
        <v/>
      </c>
      <c r="E10" s="36">
        <f>D10-($D$7)</f>
        <v/>
      </c>
    </row>
    <row r="13">
      <c r="A13" s="3" t="inlineStr">
        <is>
          <t>FAILED-eSIM COST</t>
        </is>
      </c>
    </row>
    <row r="14">
      <c r="A14" s="14" t="inlineStr">
        <is>
          <t>For every failed activation: refund + 2GB goodwill + reissue cost</t>
        </is>
      </c>
    </row>
    <row r="15">
      <c r="A15" s="8" t="inlineStr">
        <is>
          <t>Failure Rate</t>
        </is>
      </c>
      <c r="B15" s="8" t="inlineStr">
        <is>
          <t>Cost per Failed Activation</t>
        </is>
      </c>
      <c r="C15" s="8" t="inlineStr">
        <is>
          <t>Failed/mo @ 1K users</t>
        </is>
      </c>
      <c r="D15" s="8" t="inlineStr">
        <is>
          <t>Monthly Cost</t>
        </is>
      </c>
      <c r="E15" s="8" t="inlineStr">
        <is>
          <t>Annual Cost</t>
        </is>
      </c>
    </row>
    <row r="16">
      <c r="A16" s="29" t="n">
        <v>0.01</v>
      </c>
      <c r="B16" s="10" t="n">
        <v>4</v>
      </c>
      <c r="C16" s="37">
        <f>1000*A16*3</f>
        <v/>
      </c>
      <c r="D16" s="25">
        <f>C16*B16</f>
        <v/>
      </c>
      <c r="E16" s="25">
        <f>D16*12</f>
        <v/>
      </c>
    </row>
    <row r="17">
      <c r="A17" s="29" t="n">
        <v>0.02</v>
      </c>
      <c r="B17" s="10" t="n">
        <v>4</v>
      </c>
      <c r="C17" s="37">
        <f>1000*A17*3</f>
        <v/>
      </c>
      <c r="D17" s="25">
        <f>C17*B17</f>
        <v/>
      </c>
      <c r="E17" s="25">
        <f>D17*12</f>
        <v/>
      </c>
    </row>
    <row r="18">
      <c r="A18" s="29" t="n">
        <v>0.03</v>
      </c>
      <c r="B18" s="10" t="n">
        <v>4</v>
      </c>
      <c r="C18" s="37">
        <f>1000*A18*3</f>
        <v/>
      </c>
      <c r="D18" s="25">
        <f>C18*B18</f>
        <v/>
      </c>
      <c r="E18" s="25">
        <f>D18*12</f>
        <v/>
      </c>
    </row>
    <row r="19">
      <c r="A19" s="29" t="n">
        <v>0.05</v>
      </c>
      <c r="B19" s="10" t="n">
        <v>4</v>
      </c>
      <c r="C19" s="37">
        <f>1000*A19*3</f>
        <v/>
      </c>
      <c r="D19" s="25">
        <f>C19*B19</f>
        <v/>
      </c>
      <c r="E19" s="25">
        <f>D19*12</f>
        <v/>
      </c>
    </row>
    <row r="20">
      <c r="A20" s="29" t="n">
        <v>0.08</v>
      </c>
      <c r="B20" s="10" t="n">
        <v>4</v>
      </c>
      <c r="C20" s="37">
        <f>1000*A20*3</f>
        <v/>
      </c>
      <c r="D20" s="25">
        <f>C20*B20</f>
        <v/>
      </c>
      <c r="E20" s="25">
        <f>D20*12</f>
        <v/>
      </c>
    </row>
    <row r="23">
      <c r="A23" s="3" t="inlineStr">
        <is>
          <t>COCKPIT ANNUAL CASH ADVANTAGE</t>
        </is>
      </c>
    </row>
    <row r="24">
      <c r="A24" s="14" t="inlineStr">
        <is>
          <t>$299 collected upfront vs $24.92/mo over 12 months. The cashflow boost matters for runway.</t>
        </is>
      </c>
    </row>
    <row r="25">
      <c r="A25" s="8" t="inlineStr">
        <is>
          <t>Cockpit Users</t>
        </is>
      </c>
      <c r="B25" s="8" t="inlineStr">
        <is>
          <t>Monthly Sub Recognized</t>
        </is>
      </c>
      <c r="C25" s="8" t="inlineStr">
        <is>
          <t>Upfront Cash</t>
        </is>
      </c>
      <c r="D25" s="8" t="inlineStr">
        <is>
          <t>Cash Boost vs Monthly</t>
        </is>
      </c>
    </row>
    <row r="26">
      <c r="A26" s="23" t="n">
        <v>10</v>
      </c>
      <c r="B26" s="24">
        <f>A26*24.92</f>
        <v/>
      </c>
      <c r="C26" s="25">
        <f>A26*299</f>
        <v/>
      </c>
      <c r="D26" s="24">
        <f>C26-(B26*12)</f>
        <v/>
      </c>
    </row>
    <row r="27">
      <c r="A27" s="23" t="n">
        <v>50</v>
      </c>
      <c r="B27" s="24">
        <f>A27*24.92</f>
        <v/>
      </c>
      <c r="C27" s="25">
        <f>A27*299</f>
        <v/>
      </c>
      <c r="D27" s="24">
        <f>C27-(B27*12)</f>
        <v/>
      </c>
    </row>
    <row r="28">
      <c r="A28" s="23" t="n">
        <v>100</v>
      </c>
      <c r="B28" s="24">
        <f>A28*24.92</f>
        <v/>
      </c>
      <c r="C28" s="25">
        <f>A28*299</f>
        <v/>
      </c>
      <c r="D28" s="24">
        <f>C28-(B28*12)</f>
        <v/>
      </c>
    </row>
    <row r="29">
      <c r="A29" s="23" t="n">
        <v>200</v>
      </c>
      <c r="B29" s="24">
        <f>A29*24.92</f>
        <v/>
      </c>
      <c r="C29" s="25">
        <f>A29*299</f>
        <v/>
      </c>
      <c r="D29" s="24">
        <f>C29-(B29*12)</f>
        <v/>
      </c>
    </row>
    <row r="30">
      <c r="A30" s="23" t="n">
        <v>500</v>
      </c>
      <c r="B30" s="24">
        <f>A30*24.92</f>
        <v/>
      </c>
      <c r="C30" s="25">
        <f>A30*299</f>
        <v/>
      </c>
      <c r="D30" s="24">
        <f>C30-(B30*12)</f>
        <v/>
      </c>
    </row>
    <row r="31">
      <c r="A31" s="23" t="n">
        <v>1000</v>
      </c>
      <c r="B31" s="24">
        <f>A31*24.92</f>
        <v/>
      </c>
      <c r="C31" s="25">
        <f>A31*299</f>
        <v/>
      </c>
      <c r="D31" s="24">
        <f>C31-(B31*12)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2026-05-31T07:19:46Z</dcterms:created>
  <dcterms:modified xmlns:dcterms="http://purl.org/dc/terms/" xmlns:xsi="http://www.w3.org/2001/XMLSchema-instance" xsi:type="dcterms:W3CDTF">2026-05-31T07:47:53Z</dcterms:modified>
</cp:coreProperties>
</file>