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</numFmts>
  <fonts count="35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</fonts>
  <fills count="19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(PAYG)</t>
        </is>
      </c>
      <c r="B7" s="46">
        <f>'README &amp; Assumptions'!B14</f>
        <v/>
      </c>
      <c r="C7" s="49">
        <f>'User Behavior'!D21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</sheetData>
  <mergeCells count="20">
    <mergeCell ref="A5:D5"/>
    <mergeCell ref="B23:M2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B22:M22"/>
    <mergeCell ref="A3:M3"/>
    <mergeCell ref="B18:M18"/>
    <mergeCell ref="B21:M21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9" t="inlineStr">
        <is>
          <t>Cockpit</t>
        </is>
      </c>
      <c r="B12" s="29" t="n">
        <v>0.006</v>
      </c>
      <c r="C12" s="20">
        <f>IFERROR(1/B12,0)</f>
        <v/>
      </c>
      <c r="D12" s="14" t="inlineStr">
        <is>
          <t>Annual prepay = automatic 12-mo retention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8" t="inlineStr">
        <is>
          <t>CUSTOMER ACQUISITION COST (per-channel blended avg)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9" t="inlineStr">
        <is>
          <t>Organic / word-of-mouth</t>
        </is>
      </c>
      <c r="B18" s="13" t="n">
        <v>0.5</v>
      </c>
      <c r="C18" s="28" t="n">
        <v>0</v>
      </c>
      <c r="D18" s="14" t="inlineStr">
        <is>
          <t>Crew network referrals — free</t>
        </is>
      </c>
    </row>
    <row r="19">
      <c r="A19" s="9" t="inlineStr">
        <is>
          <t>Referral bonus ($5 credit)</t>
        </is>
      </c>
      <c r="B19" s="13" t="n">
        <v>0.25</v>
      </c>
      <c r="C19" s="28" t="n">
        <v>5</v>
      </c>
      <c r="D19" s="14" t="inlineStr">
        <is>
          <t>Existing user refers</t>
        </is>
      </c>
    </row>
    <row r="20">
      <c r="A20" s="9" t="inlineStr">
        <is>
          <t>Paid social (IG/TikTok)</t>
        </is>
      </c>
      <c r="B20" s="13" t="n">
        <v>0.15</v>
      </c>
      <c r="C20" s="28" t="n">
        <v>12</v>
      </c>
      <c r="D20" s="14" t="inlineStr">
        <is>
          <t>Cold acquisition</t>
        </is>
      </c>
    </row>
    <row r="21">
      <c r="A21" t="inlineStr">
        <is>
          <t>Influencer / crew creator</t>
        </is>
      </c>
      <c r="B21" t="n">
        <v>0.1</v>
      </c>
      <c r="C21" t="n">
        <v>8</v>
      </c>
      <c r="D21" t="inlineStr">
        <is>
          <t>Paid sponsorship to @crew_illust et al</t>
        </is>
      </c>
    </row>
    <row r="22">
      <c r="A22" s="9" t="n"/>
      <c r="C22" s="11" t="n"/>
    </row>
    <row r="23">
      <c r="A23" t="inlineStr">
        <is>
          <t>BLENDED CAC</t>
        </is>
      </c>
      <c r="C23">
        <f>SUMPRODUCT(B18:B21,C18:C21)</f>
        <v/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3"/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0"/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2026-06-01T14:38:49Z</dcterms:modified>
</cp:coreProperties>
</file>