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Volume Scenarios" sheetId="11" state="visible" r:id="rId11"/>
    <sheet xmlns:r="http://schemas.openxmlformats.org/officeDocument/2006/relationships" name="Procurement Options" sheetId="12" state="visible" r:id="rId12"/>
    <sheet xmlns:r="http://schemas.openxmlformats.org/officeDocument/2006/relationships" name="24-Month Rollout" sheetId="13" state="visible" r:id="rId13"/>
    <sheet xmlns:r="http://schemas.openxmlformats.org/officeDocument/2006/relationships" name="Behavior Sensitivity" sheetId="14" state="visible" r:id="rId14"/>
    <sheet xmlns:r="http://schemas.openxmlformats.org/officeDocument/2006/relationships" name="LTV-CAC + Churn" sheetId="15" state="visible" r:id="rId15"/>
    <sheet xmlns:r="http://schemas.openxmlformats.org/officeDocument/2006/relationships" name="Per-Tier Geo Mix" sheetId="16" state="visible" r:id="rId16"/>
    <sheet xmlns:r="http://schemas.openxmlformats.org/officeDocument/2006/relationships" name="Carryover Liability" sheetId="17" state="visible" r:id="rId17"/>
    <sheet xmlns:r="http://schemas.openxmlformats.org/officeDocument/2006/relationships" name="Strategic Scenarios" sheetId="18" state="visible" r:id="rId18"/>
    <sheet xmlns:r="http://schemas.openxmlformats.org/officeDocument/2006/relationships" name="Cash + Sensitivity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</fonts>
  <fills count="10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(pay-per-trip)</t>
        </is>
      </c>
      <c r="B14" s="10" t="n">
        <v>13.68</v>
      </c>
      <c r="C14" s="11">
        <f>B14*12</f>
        <v/>
      </c>
      <c r="D14" s="12" t="n">
        <v>2.5</v>
      </c>
      <c r="E14" s="13" t="n">
        <v>0</v>
      </c>
      <c r="F14" s="14" t="inlineStr">
        <is>
          <t>PAYG · avg 2.5 GB/mo @ $4.99/GB + 20% refuel attach @ $5.99</t>
        </is>
      </c>
    </row>
    <row r="15">
      <c r="A15" s="9" t="inlineStr">
        <is>
          <t>Roster Bundle</t>
        </is>
      </c>
      <c r="B15" s="10" t="n">
        <v>39.99</v>
      </c>
      <c r="C15" s="11">
        <f>B15*12</f>
        <v/>
      </c>
      <c r="D15" s="12" t="n">
        <v>10</v>
      </c>
      <c r="E15" s="13" t="n">
        <v>0.5</v>
      </c>
      <c r="F15" s="14" t="inlineStr">
        <is>
          <t>10GB pool · 50% carry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Annual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+ 12GB lifetime emergency bank · 100% carry × 2mo · pilots only</t>
        </is>
      </c>
    </row>
    <row r="21">
      <c r="A21" s="9" t="inlineStr">
        <is>
          <t>Refuel (add-on)</t>
        </is>
      </c>
      <c r="B21" s="10" t="n">
        <v>4.99</v>
      </c>
      <c r="C21" s="11">
        <f>B20*12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8" t="inlineStr">
        <is>
          <t>Bucket</t>
        </is>
      </c>
      <c r="B25" s="8" t="inlineStr">
        <is>
          <t>Description</t>
        </is>
      </c>
      <c r="C25" s="8" t="inlineStr">
        <is>
          <t>Cost USD</t>
        </is>
      </c>
      <c r="D25" s="8" t="inlineStr">
        <is>
          <t>% Mix</t>
        </is>
      </c>
    </row>
    <row r="26">
      <c r="A26" s="9" t="inlineStr">
        <is>
          <t>Tier-A (cheap)</t>
        </is>
      </c>
      <c r="B26" s="14" t="inlineStr">
        <is>
          <t>JP, UK, SG, MY, HK, KR, US</t>
        </is>
      </c>
      <c r="C26" s="10" t="n">
        <v>0.97</v>
      </c>
      <c r="D26" s="13" t="n">
        <v>0.6</v>
      </c>
    </row>
    <row r="27">
      <c r="A27" s="9" t="inlineStr">
        <is>
          <t>Tier-B (medium)</t>
        </is>
      </c>
      <c r="B27" s="14" t="inlineStr">
        <is>
          <t>CA, AU, NZ, VN, UAE</t>
        </is>
      </c>
      <c r="C27" s="10" t="n">
        <v>1.5</v>
      </c>
      <c r="D27" s="13" t="n">
        <v>0.25</v>
      </c>
    </row>
    <row r="28">
      <c r="A28" s="9" t="inlineStr">
        <is>
          <t>Tier-C (expensive)</t>
        </is>
      </c>
      <c r="B28" s="14" t="inlineStr">
        <is>
          <t>IN, BR, SA, ZA</t>
        </is>
      </c>
      <c r="C28" s="10" t="n">
        <v>5.8</v>
      </c>
      <c r="D28" s="13" t="n">
        <v>0.15</v>
      </c>
    </row>
    <row r="30">
      <c r="A30" s="9" t="inlineStr">
        <is>
          <t>BLENDED COST / GB</t>
        </is>
      </c>
      <c r="C30" s="11">
        <f>SUMPRODUCT(C25:C27,D25:D27)</f>
        <v/>
      </c>
    </row>
    <row r="33">
      <c r="A33" s="3" t="inlineStr">
        <is>
          <t>CABIN-CLASS MIX (% of paying users in each tier)</t>
        </is>
      </c>
    </row>
    <row r="34">
      <c r="A34" s="15" t="inlineStr">
        <is>
          <t>Tier</t>
        </is>
      </c>
      <c r="B34" s="15" t="inlineStr">
        <is>
          <t>% Users</t>
        </is>
      </c>
    </row>
    <row r="35">
      <c r="A35" s="9" t="inlineStr">
        <is>
          <t>Economy</t>
        </is>
      </c>
      <c r="B35" s="13" t="n">
        <v>0.5</v>
      </c>
    </row>
    <row r="36">
      <c r="A36" s="9" t="inlineStr">
        <is>
          <t>Roster Bundle</t>
        </is>
      </c>
      <c r="B36" s="13" t="n">
        <v>0.18</v>
      </c>
    </row>
    <row r="37">
      <c r="A37" s="9" t="inlineStr">
        <is>
          <t>Premium Economy</t>
        </is>
      </c>
      <c r="B37" s="13" t="n">
        <v>0.13</v>
      </c>
    </row>
    <row r="38">
      <c r="A38" s="9" t="inlineStr">
        <is>
          <t>Business</t>
        </is>
      </c>
      <c r="B38" s="13" t="n">
        <v>0.08</v>
      </c>
    </row>
    <row r="39">
      <c r="A39" s="9" t="inlineStr">
        <is>
          <t>First</t>
        </is>
      </c>
      <c r="B39" s="13" t="n">
        <v>0.03</v>
      </c>
    </row>
    <row r="40">
      <c r="A40" t="inlineStr">
        <is>
          <t>First Suite</t>
        </is>
      </c>
      <c r="B40" t="n">
        <v>0.02</v>
      </c>
    </row>
    <row r="41">
      <c r="A41" s="9" t="inlineStr">
        <is>
          <t>Cockpit</t>
        </is>
      </c>
      <c r="B41" s="13" t="n">
        <v>0.03</v>
      </c>
    </row>
    <row r="42">
      <c r="A42" s="9" t="inlineStr">
        <is>
          <t>Refuel attach</t>
        </is>
      </c>
      <c r="B42" s="13" t="n">
        <v>0.3</v>
      </c>
    </row>
    <row r="45">
      <c r="A45" s="3" t="inlineStr">
        <is>
          <t>OPERATING COST / USER / MONTH</t>
        </is>
      </c>
    </row>
    <row r="46">
      <c r="A46" s="15" t="inlineStr">
        <is>
          <t>Line</t>
        </is>
      </c>
      <c r="B46" s="15" t="inlineStr">
        <is>
          <t>USD</t>
        </is>
      </c>
    </row>
    <row r="47">
      <c r="A47" t="inlineStr">
        <is>
          <t>Cloud / API per user</t>
        </is>
      </c>
      <c r="B47" s="10" t="n">
        <v>0.15</v>
      </c>
    </row>
    <row r="48">
      <c r="A48" t="inlineStr">
        <is>
          <t>Payment processing (2.9% + $0.30)</t>
        </is>
      </c>
      <c r="B48" s="10" t="n">
        <v>0.5</v>
      </c>
    </row>
    <row r="49">
      <c r="A49" t="inlineStr">
        <is>
          <t>Customer support amortized</t>
        </is>
      </c>
      <c r="B49" s="10" t="n">
        <v>0.3</v>
      </c>
    </row>
    <row r="50">
      <c r="A50" t="inlineStr">
        <is>
          <t>SMS / OTP / verification</t>
        </is>
      </c>
      <c r="B50" s="10" t="n">
        <v>0.05</v>
      </c>
    </row>
    <row r="51">
      <c r="A51" t="inlineStr">
        <is>
          <t>Hosting + dev tools amortized</t>
        </is>
      </c>
      <c r="B51" s="10" t="n">
        <v>0.1</v>
      </c>
    </row>
    <row r="52">
      <c r="A52" s="9" t="inlineStr">
        <is>
          <t>TOTAL OPEX</t>
        </is>
      </c>
      <c r="B52" s="11">
        <f>SUM(B45:B49)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 outlineLevelCol="0"/>
  <cols>
    <col width="24" customWidth="1" min="1" max="1"/>
    <col width="14" customWidth="1" min="2" max="2"/>
    <col width="16" customWidth="1" min="3" max="3"/>
    <col width="16" customWidth="1" min="4" max="4"/>
    <col width="22" customWidth="1" min="5" max="5"/>
    <col width="28" customWidth="1" min="6" max="6"/>
  </cols>
  <sheetData>
    <row r="1">
      <c r="A1" s="1" t="inlineStr">
        <is>
          <t>User Behavior Profiles — % of pool consumed by user type</t>
        </is>
      </c>
    </row>
    <row r="2">
      <c r="A2" s="2" t="inlineStr">
        <is>
          <t>For each tier, model 4 user types. % of pool consumed determines COGS in pay-per-order model.</t>
        </is>
      </c>
    </row>
    <row r="4">
      <c r="A4" s="3" t="inlineStr">
        <is>
          <t>BEHAVIOR PROFILES (apply to all tiers)</t>
        </is>
      </c>
    </row>
    <row r="5">
      <c r="A5" s="8" t="inlineStr">
        <is>
          <t>Profile</t>
        </is>
      </c>
      <c r="B5" s="8" t="inlineStr">
        <is>
          <t>% of Users</t>
        </is>
      </c>
      <c r="C5" s="8" t="inlineStr">
        <is>
          <t>% of Pool Consumed</t>
        </is>
      </c>
      <c r="D5" s="8" t="inlineStr">
        <is>
          <t>Refuel Attach Rate</t>
        </is>
      </c>
      <c r="E5" s="8" t="inlineStr">
        <is>
          <t>Notes</t>
        </is>
      </c>
    </row>
    <row r="6">
      <c r="A6" s="9" t="inlineStr">
        <is>
          <t>Light user</t>
        </is>
      </c>
      <c r="B6" s="13" t="n">
        <v>0.25</v>
      </c>
      <c r="C6" s="13" t="n">
        <v>0.3</v>
      </c>
      <c r="D6" s="13" t="n">
        <v>0.1</v>
      </c>
      <c r="E6" s="14" t="inlineStr">
        <is>
          <t>Crew-skewed base: fewer pure-breakage users than general travel</t>
        </is>
      </c>
    </row>
    <row r="7">
      <c r="A7" s="9" t="inlineStr">
        <is>
          <t>Average user</t>
        </is>
      </c>
      <c r="B7" s="13" t="n">
        <v>0.4</v>
      </c>
      <c r="C7" s="13" t="n">
        <v>0.65</v>
      </c>
      <c r="D7" s="13" t="n">
        <v>0.3</v>
      </c>
      <c r="E7" s="14" t="inlineStr">
        <is>
          <t>Crew-skewed base: largest cohort — normal long-haul consumption</t>
        </is>
      </c>
    </row>
    <row r="8">
      <c r="A8" s="9" t="inlineStr">
        <is>
          <t>Heavy user</t>
        </is>
      </c>
      <c r="B8" s="13" t="n">
        <v>0.3</v>
      </c>
      <c r="C8" s="13" t="n">
        <v>0.95</v>
      </c>
      <c r="D8" s="13" t="n">
        <v>0.65</v>
      </c>
      <c r="E8" s="14" t="inlineStr">
        <is>
          <t>Crew-skewed base: more power users (it's their job to travel)</t>
        </is>
      </c>
    </row>
    <row r="9">
      <c r="A9" s="9" t="inlineStr">
        <is>
          <t>Churner</t>
        </is>
      </c>
      <c r="B9" s="13" t="n">
        <v>0.05</v>
      </c>
      <c r="C9" s="13" t="n">
        <v>0.1</v>
      </c>
      <c r="D9" s="13" t="n">
        <v>0</v>
      </c>
      <c r="E9" s="14" t="inlineStr">
        <is>
          <t>Tries one month, cancels — pure breakage</t>
        </is>
      </c>
    </row>
    <row r="10">
      <c r="A10" s="9" t="inlineStr">
        <is>
          <t>TOTAL</t>
        </is>
      </c>
      <c r="B10" s="16">
        <f>SUM(B6:B9)</f>
        <v/>
      </c>
    </row>
    <row r="11">
      <c r="A11" s="9" t="inlineStr">
        <is>
          <t>WEIGHTED AVG % POOL CONSUMED</t>
        </is>
      </c>
      <c r="C11" s="17">
        <f>SUMPRODUCT(B6:B9,C6:C9)</f>
        <v/>
      </c>
    </row>
    <row r="12">
      <c r="A12" s="9" t="inlineStr">
        <is>
          <t>WEIGHTED AVG REFUEL ATTACH</t>
        </is>
      </c>
      <c r="D12" s="17">
        <f>SUMPRODUCT(B6:B9,D6:D9)</f>
        <v/>
      </c>
    </row>
    <row r="15">
      <c r="A15" s="3" t="inlineStr">
        <is>
          <t>EXPECTED GB CONSUMED PER USER PER MONTH (by tier)</t>
        </is>
      </c>
    </row>
    <row r="16">
      <c r="A16" s="8" t="inlineStr">
        <is>
          <t>Tier</t>
        </is>
      </c>
      <c r="B16" s="8" t="inlineStr">
        <is>
          <t>Pool GB</t>
        </is>
      </c>
      <c r="C16" s="8" t="inlineStr">
        <is>
          <t>% Consumed</t>
        </is>
      </c>
      <c r="D16" s="8" t="inlineStr">
        <is>
          <t>GB Consumed</t>
        </is>
      </c>
      <c r="E16" s="8" t="inlineStr">
        <is>
          <t>GB Unused (carries)</t>
        </is>
      </c>
      <c r="F16" s="8" t="inlineStr">
        <is>
          <t>GB Truly Unused (breakage)</t>
        </is>
      </c>
    </row>
    <row r="17">
      <c r="A17" s="9" t="inlineStr">
        <is>
          <t>Economy</t>
        </is>
      </c>
      <c r="B17" s="18">
        <f>'README &amp; Assumptions'!D14</f>
        <v/>
      </c>
      <c r="C17" s="19" t="n">
        <v>1</v>
      </c>
      <c r="D17" s="20">
        <f>B17*C17</f>
        <v/>
      </c>
      <c r="E17" s="20">
        <f>(B17-D17)*'README &amp; Assumptions'!E14</f>
        <v/>
      </c>
      <c r="F17" s="20">
        <f>(B17-D17)*(1-'README &amp; Assumptions'!E14)</f>
        <v/>
      </c>
    </row>
    <row r="18">
      <c r="A18" s="9" t="inlineStr">
        <is>
          <t>Roster Bundle</t>
        </is>
      </c>
      <c r="B18" s="18">
        <f>'README &amp; Assumptions'!D15</f>
        <v/>
      </c>
      <c r="C18" s="19">
        <f>$C$11</f>
        <v/>
      </c>
      <c r="D18" s="20">
        <f>B18*C18</f>
        <v/>
      </c>
      <c r="E18" s="20">
        <f>(B18-D18)*'README &amp; Assumptions'!E15</f>
        <v/>
      </c>
      <c r="F18" s="20">
        <f>(B18-D18)*(1-'README &amp; Assumptions'!E15)</f>
        <v/>
      </c>
    </row>
    <row r="19">
      <c r="A19" s="9" t="inlineStr">
        <is>
          <t>Premium Economy</t>
        </is>
      </c>
      <c r="B19" s="18">
        <f>'README &amp; Assumptions'!D16</f>
        <v/>
      </c>
      <c r="C19" s="19">
        <f>$C$11</f>
        <v/>
      </c>
      <c r="D19" s="20">
        <f>B19*C19</f>
        <v/>
      </c>
      <c r="E19" s="20">
        <f>(B19-D19)*'README &amp; Assumptions'!E16</f>
        <v/>
      </c>
      <c r="F19" s="20">
        <f>(B19-D19)*(1-'README &amp; Assumptions'!E16)</f>
        <v/>
      </c>
    </row>
    <row r="20">
      <c r="A20" s="9" t="inlineStr">
        <is>
          <t>Business</t>
        </is>
      </c>
      <c r="B20" s="18">
        <f>'README &amp; Assumptions'!D17</f>
        <v/>
      </c>
      <c r="C20" s="19">
        <f>$C$11</f>
        <v/>
      </c>
      <c r="D20" s="20">
        <f>B20*C20</f>
        <v/>
      </c>
      <c r="E20" s="20">
        <f>(B20-D20)*'README &amp; Assumptions'!E17</f>
        <v/>
      </c>
      <c r="F20" s="20">
        <f>(B20-D20)*(1-'README &amp; Assumptions'!E17)</f>
        <v/>
      </c>
    </row>
    <row r="21">
      <c r="A21" s="9" t="inlineStr">
        <is>
          <t>First</t>
        </is>
      </c>
      <c r="B21" s="18">
        <f>'README &amp; Assumptions'!D18</f>
        <v/>
      </c>
      <c r="C21" s="19">
        <f>$C$11</f>
        <v/>
      </c>
      <c r="D21" s="20">
        <f>B21*C21</f>
        <v/>
      </c>
      <c r="E21" s="20">
        <f>(B21-D21)*'README &amp; Assumptions'!E18</f>
        <v/>
      </c>
      <c r="F21" s="20">
        <f>(B21-D21)*(1-'README &amp; Assumptions'!E18)</f>
        <v/>
      </c>
    </row>
    <row r="22">
      <c r="A22" s="9" t="inlineStr">
        <is>
          <t>Cockpit</t>
        </is>
      </c>
      <c r="B22" s="18">
        <f>'README &amp; Assumptions'!D19</f>
        <v/>
      </c>
      <c r="C22" s="19">
        <f>$C$11</f>
        <v/>
      </c>
      <c r="D22" s="20">
        <f>B22*C22</f>
        <v/>
      </c>
      <c r="E22" s="20">
        <f>(B22-D22)*'README &amp; Assumptions'!E19</f>
        <v/>
      </c>
      <c r="F22" s="20">
        <f>(B22-D22)*(1-'README &amp; Assumptions'!E19)</f>
        <v/>
      </c>
    </row>
    <row r="23">
      <c r="A23" s="9" t="inlineStr">
        <is>
          <t>Refuel attach</t>
        </is>
      </c>
      <c r="B23" s="18">
        <f>'README &amp; Assumptions'!D20</f>
        <v/>
      </c>
      <c r="C23" s="19">
        <f>$C$11</f>
        <v/>
      </c>
      <c r="D23" s="20">
        <f>B23*C23</f>
        <v/>
      </c>
      <c r="E23" s="20">
        <f>(B23-D23)*'README &amp; Assumptions'!E20</f>
        <v/>
      </c>
      <c r="F23" s="20">
        <f>(B23-D23)*(1-'README &amp; Assumptions'!E20)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 outlineLevelCol="0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Per-Tier Unit Economics (PAY-PER-ORDER model)</t>
        </is>
      </c>
    </row>
    <row r="2">
      <c r="A2" s="2" t="inlineStr">
        <is>
          <t>COGS = actual GB consumed × wholesale cost. Unused GB that breaks is pure breakage revenue.</t>
        </is>
      </c>
    </row>
    <row r="4">
      <c r="A4" s="8" t="inlineStr">
        <is>
          <t>Tier</t>
        </is>
      </c>
      <c r="B4" s="8" t="inlineStr">
        <is>
          <t>Monthly Revenue</t>
        </is>
      </c>
      <c r="C4" s="8" t="inlineStr">
        <is>
          <t>GB Consumed</t>
        </is>
      </c>
      <c r="D4" s="8" t="inlineStr">
        <is>
          <t>Wholesale $/GB</t>
        </is>
      </c>
      <c r="E4" s="8" t="inlineStr">
        <is>
          <t>eSIM COGS</t>
        </is>
      </c>
      <c r="F4" s="8" t="inlineStr">
        <is>
          <t>Refuel Revenue</t>
        </is>
      </c>
      <c r="G4" s="8" t="inlineStr">
        <is>
          <t>Refuel COGS</t>
        </is>
      </c>
      <c r="H4" s="8" t="inlineStr">
        <is>
          <t>Refund Cost</t>
        </is>
      </c>
      <c r="I4" s="8" t="inlineStr">
        <is>
          <t>Gross Profit</t>
        </is>
      </c>
      <c r="J4" s="8" t="inlineStr">
        <is>
          <t>Gross Margin %</t>
        </is>
      </c>
      <c r="K4" s="8" t="inlineStr">
        <is>
          <t>After Opex</t>
        </is>
      </c>
      <c r="L4" s="8" t="inlineStr">
        <is>
          <t>Net Margin %</t>
        </is>
      </c>
    </row>
    <row r="5">
      <c r="A5" s="9" t="inlineStr">
        <is>
          <t>Economy</t>
        </is>
      </c>
      <c r="B5" s="21">
        <f>'README &amp; Assumptions'!B13</f>
        <v/>
      </c>
      <c r="C5" s="18">
        <f>'User Behavior'!D17</f>
        <v/>
      </c>
      <c r="D5" s="21">
        <f>'README &amp; Assumptions'!C29</f>
        <v/>
      </c>
      <c r="E5" s="11">
        <f>C5*D5</f>
        <v/>
      </c>
      <c r="F5" s="11">
        <f>5.99*'User Behavior'!D12</f>
        <v/>
      </c>
      <c r="G5" s="11">
        <f>D5*'User Behavior'!D12</f>
        <v/>
      </c>
      <c r="H5" s="11">
        <f>2.50*0.5*SUMPRODUCT('User Behavior'!B6:B9,'User Behavior'!C6:C9)/1</f>
        <v/>
      </c>
      <c r="I5" s="22">
        <f>B5+F5-E5-G5-H5</f>
        <v/>
      </c>
      <c r="J5" s="17">
        <f>IFERROR(I5/(B5+F5),0)</f>
        <v/>
      </c>
      <c r="K5" s="22">
        <f>I5-'README &amp; Assumptions'!B50</f>
        <v/>
      </c>
      <c r="L5" s="17">
        <f>IFERROR(K5/(B5+F5),0)</f>
        <v/>
      </c>
    </row>
    <row r="6">
      <c r="A6" s="9" t="inlineStr">
        <is>
          <t>Roster Bundle</t>
        </is>
      </c>
      <c r="B6" s="21">
        <f>'README &amp; Assumptions'!B14</f>
        <v/>
      </c>
      <c r="C6" s="18">
        <f>'User Behavior'!D18</f>
        <v/>
      </c>
      <c r="D6" s="21">
        <f>'README &amp; Assumptions'!C29</f>
        <v/>
      </c>
      <c r="E6" s="11">
        <f>C6*D6</f>
        <v/>
      </c>
      <c r="F6" s="11">
        <f>5.99*'User Behavior'!D12</f>
        <v/>
      </c>
      <c r="G6" s="11">
        <f>D6*'User Behavior'!D12</f>
        <v/>
      </c>
      <c r="H6" s="11">
        <f>2.50*0.5*SUMPRODUCT('User Behavior'!B6:B9,'User Behavior'!C6:C9)/1</f>
        <v/>
      </c>
      <c r="I6" s="22">
        <f>B6+F6-E6-G6-H6</f>
        <v/>
      </c>
      <c r="J6" s="17">
        <f>IFERROR(I6/(B6+F6),0)</f>
        <v/>
      </c>
      <c r="K6" s="22">
        <f>I6-'README &amp; Assumptions'!B50</f>
        <v/>
      </c>
      <c r="L6" s="17">
        <f>IFERROR(K6/(B6+F6),0)</f>
        <v/>
      </c>
    </row>
    <row r="7">
      <c r="A7" s="9" t="inlineStr">
        <is>
          <t>Premium Economy</t>
        </is>
      </c>
      <c r="B7" s="21">
        <f>'README &amp; Assumptions'!B15</f>
        <v/>
      </c>
      <c r="C7" s="18">
        <f>'User Behavior'!D19</f>
        <v/>
      </c>
      <c r="D7" s="21">
        <f>'README &amp; Assumptions'!C29</f>
        <v/>
      </c>
      <c r="E7" s="11">
        <f>C7*D7</f>
        <v/>
      </c>
      <c r="F7" s="11">
        <f>5.99*'User Behavior'!D12</f>
        <v/>
      </c>
      <c r="G7" s="11">
        <f>D7*'User Behavior'!D12</f>
        <v/>
      </c>
      <c r="H7" s="11">
        <f>2.50*0.5*SUMPRODUCT('User Behavior'!B6:B9,'User Behavior'!C6:C9)/1</f>
        <v/>
      </c>
      <c r="I7" s="22">
        <f>B7+F7-E7-G7-H7</f>
        <v/>
      </c>
      <c r="J7" s="17">
        <f>IFERROR(I7/(B7+F7),0)</f>
        <v/>
      </c>
      <c r="K7" s="22">
        <f>I7-'README &amp; Assumptions'!B50</f>
        <v/>
      </c>
      <c r="L7" s="17">
        <f>IFERROR(K7/(B7+F7),0)</f>
        <v/>
      </c>
    </row>
    <row r="8">
      <c r="A8" s="9" t="inlineStr">
        <is>
          <t>Business</t>
        </is>
      </c>
      <c r="B8" s="21">
        <f>'README &amp; Assumptions'!B16</f>
        <v/>
      </c>
      <c r="C8" s="18">
        <f>'User Behavior'!D20</f>
        <v/>
      </c>
      <c r="D8" s="21">
        <f>'README &amp; Assumptions'!C29</f>
        <v/>
      </c>
      <c r="E8" s="11">
        <f>C8*D8</f>
        <v/>
      </c>
      <c r="F8" s="11">
        <f>5.99*'User Behavior'!D12</f>
        <v/>
      </c>
      <c r="G8" s="11">
        <f>D8*'User Behavior'!D12</f>
        <v/>
      </c>
      <c r="H8" s="11">
        <f>2.50*0.5*SUMPRODUCT('User Behavior'!B6:B9,'User Behavior'!C6:C9)/1</f>
        <v/>
      </c>
      <c r="I8" s="22">
        <f>B8+F8-E8-G8-H8</f>
        <v/>
      </c>
      <c r="J8" s="17">
        <f>IFERROR(I8/(B8+F8),0)</f>
        <v/>
      </c>
      <c r="K8" s="22">
        <f>I8-'README &amp; Assumptions'!B50</f>
        <v/>
      </c>
      <c r="L8" s="17">
        <f>IFERROR(K8/(B8+F8),0)</f>
        <v/>
      </c>
    </row>
    <row r="9">
      <c r="A9" s="9" t="inlineStr">
        <is>
          <t>First</t>
        </is>
      </c>
      <c r="B9" s="21">
        <f>'README &amp; Assumptions'!B17</f>
        <v/>
      </c>
      <c r="C9" s="18">
        <f>'User Behavior'!D21</f>
        <v/>
      </c>
      <c r="D9" s="21">
        <f>'README &amp; Assumptions'!C29</f>
        <v/>
      </c>
      <c r="E9" s="11">
        <f>C9*D9</f>
        <v/>
      </c>
      <c r="F9" s="11">
        <f>5.99*'User Behavior'!D12</f>
        <v/>
      </c>
      <c r="G9" s="11">
        <f>D9*'User Behavior'!D12</f>
        <v/>
      </c>
      <c r="H9" s="11">
        <f>2.50*0.5*SUMPRODUCT('User Behavior'!B6:B9,'User Behavior'!C6:C9)/1</f>
        <v/>
      </c>
      <c r="I9" s="22">
        <f>B9+F9-E9-G9-H9</f>
        <v/>
      </c>
      <c r="J9" s="17">
        <f>IFERROR(I9/(B9+F9),0)</f>
        <v/>
      </c>
      <c r="K9" s="22">
        <f>I9-'README &amp; Assumptions'!B50</f>
        <v/>
      </c>
      <c r="L9" s="17">
        <f>IFERROR(K9/(B9+F9),0)</f>
        <v/>
      </c>
    </row>
    <row r="10">
      <c r="A10" s="9" t="inlineStr">
        <is>
          <t>Cockpit</t>
        </is>
      </c>
      <c r="B10" s="21">
        <f>'README &amp; Assumptions'!B18</f>
        <v/>
      </c>
      <c r="C10" s="18">
        <f>'User Behavior'!D22</f>
        <v/>
      </c>
      <c r="D10" s="21">
        <f>'README &amp; Assumptions'!C29</f>
        <v/>
      </c>
      <c r="E10" s="11">
        <f>C10*D10</f>
        <v/>
      </c>
      <c r="F10" s="11">
        <f>5.99*'User Behavior'!D12</f>
        <v/>
      </c>
      <c r="G10" s="11">
        <f>D10*'User Behavior'!D12</f>
        <v/>
      </c>
      <c r="H10" s="11">
        <f>2.50*0.5*SUMPRODUCT('User Behavior'!B6:B9,'User Behavior'!C6:C9)/1</f>
        <v/>
      </c>
      <c r="I10" s="22">
        <f>B10+F10-E10-G10-H10</f>
        <v/>
      </c>
      <c r="J10" s="17">
        <f>IFERROR(I10/(B10+F10),0)</f>
        <v/>
      </c>
      <c r="K10" s="22">
        <f>I10-'README &amp; Assumptions'!B50</f>
        <v/>
      </c>
      <c r="L10" s="17">
        <f>IFERROR(K10/(B10+F10),0)</f>
        <v/>
      </c>
    </row>
    <row r="11">
      <c r="A11" s="9" t="inlineStr">
        <is>
          <t>Refuel attach</t>
        </is>
      </c>
      <c r="B11" s="21">
        <f>'README &amp; Assumptions'!B19</f>
        <v/>
      </c>
      <c r="C11" s="18">
        <f>'User Behavior'!D23</f>
        <v/>
      </c>
      <c r="D11" s="21">
        <f>'README &amp; Assumptions'!C29</f>
        <v/>
      </c>
      <c r="E11" s="11">
        <f>C11*D11</f>
        <v/>
      </c>
      <c r="F11" s="11">
        <f>5.99*'User Behavior'!D12</f>
        <v/>
      </c>
      <c r="G11" s="11">
        <f>D11*'User Behavior'!D12</f>
        <v/>
      </c>
      <c r="H11" s="11">
        <f>2.50*0.5*SUMPRODUCT('User Behavior'!B6:B9,'User Behavior'!C6:C9)/1</f>
        <v/>
      </c>
      <c r="I11" s="22">
        <f>B11+F11-E11-G11-H11</f>
        <v/>
      </c>
      <c r="J11" s="17">
        <f>IFERROR(I11/(B11+F11),0)</f>
        <v/>
      </c>
      <c r="K11" s="22">
        <f>I11-'README &amp; Assumptions'!B50</f>
        <v/>
      </c>
      <c r="L11" s="17">
        <f>IFERROR(K11/(B11+F11),0)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1.2</v>
      </c>
      <c r="C59" s="39" t="inlineStr">
        <is>
          <t>70/20/10 mix across A/B/C zones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1.2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$1.20 blended wholesale: Samurai global-pool estimate; will sharpen after first month of real data.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1.2</v>
      </c>
      <c r="C20" s="39" t="inlineStr">
        <is>
          <t>Same blended rate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3"/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3"/>
    <row r="14"/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1.2</v>
      </c>
      <c r="C19" s="39" t="inlineStr">
        <is>
          <t>Same blended rate</t>
        </is>
      </c>
    </row>
    <row r="20">
      <c r="A20" s="48" t="inlineStr">
        <is>
          <t>Wholesale COGS</t>
        </is>
      </c>
      <c r="B20" s="54">
        <f>B14*B15</f>
        <v/>
      </c>
      <c r="C20" s="39" t="inlineStr">
        <is>
          <t>13.6 × $1.20</t>
        </is>
      </c>
    </row>
    <row r="21">
      <c r="A21" s="48" t="inlineStr">
        <is>
          <t>GB Carryover bank</t>
        </is>
      </c>
      <c r="B21" s="82">
        <f>(25-B14)*1.0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B18*5.99</f>
        <v/>
      </c>
    </row>
    <row r="24">
      <c r="A24" s="48" t="inlineStr">
        <is>
          <t>Refuel COGS</t>
        </is>
      </c>
      <c r="B24" s="54">
        <f>B18*B15</f>
        <v/>
      </c>
    </row>
    <row r="25">
      <c r="A25" s="48" t="inlineStr">
        <is>
          <t>TOTAL profit per user / mo</t>
        </is>
      </c>
      <c r="B25" s="83" t="n">
        <v>25.59</v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 t="n">
        <v>0.605</v>
      </c>
    </row>
    <row r="27"/>
    <row r="28"/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767.7</v>
      </c>
      <c r="D31" s="86" t="n">
        <v>9212.400000000001</v>
      </c>
    </row>
    <row r="32">
      <c r="A32" s="71" t="n">
        <v>5000</v>
      </c>
      <c r="B32" s="71" t="n">
        <v>150</v>
      </c>
      <c r="C32" s="86" t="n">
        <v>3838.5</v>
      </c>
      <c r="D32" s="86" t="n">
        <v>46062</v>
      </c>
    </row>
    <row r="33">
      <c r="A33" s="71" t="n">
        <v>10000</v>
      </c>
      <c r="B33" s="71" t="n">
        <v>300</v>
      </c>
      <c r="C33" s="86" t="n">
        <v>7677</v>
      </c>
      <c r="D33" s="86" t="n">
        <v>92124</v>
      </c>
    </row>
    <row r="34">
      <c r="A34" s="71" t="n">
        <v>50000</v>
      </c>
      <c r="B34" s="71" t="n">
        <v>1500</v>
      </c>
      <c r="C34" s="86" t="n">
        <v>38385</v>
      </c>
      <c r="D34" s="86" t="n">
        <v>460620</v>
      </c>
    </row>
    <row r="35">
      <c r="A35" s="71" t="n">
        <v>100000</v>
      </c>
      <c r="B35" s="71" t="n">
        <v>3000</v>
      </c>
      <c r="C35" s="87" t="n">
        <v>76770</v>
      </c>
      <c r="D35" s="87" t="n">
        <v>921240</v>
      </c>
    </row>
    <row r="36"/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3"/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4"/>
    <row r="15"/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1.2</v>
      </c>
    </row>
    <row r="21">
      <c r="A21" s="48" t="inlineStr">
        <is>
          <t>Wholesale COGS</t>
        </is>
      </c>
      <c r="B21" s="54">
        <f>B14*B15</f>
        <v/>
      </c>
      <c r="C21" s="39" t="inlineStr">
        <is>
          <t>13.2 × $1.20</t>
        </is>
      </c>
    </row>
    <row r="22">
      <c r="A22" s="48" t="inlineStr">
        <is>
          <t>GB Carryover bank</t>
        </is>
      </c>
      <c r="B22" s="82">
        <f>(40-B14)*1.0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B18*5.99</f>
        <v/>
      </c>
    </row>
    <row r="25">
      <c r="A25" s="48" t="inlineStr">
        <is>
          <t>Refuel COGS</t>
        </is>
      </c>
      <c r="B25" s="54">
        <f>B18*B15</f>
        <v/>
      </c>
    </row>
    <row r="26">
      <c r="A26" s="48" t="inlineStr">
        <is>
          <t>TOTAL profit per user / mo</t>
        </is>
      </c>
      <c r="B26" s="83" t="n">
        <v>35.11</v>
      </c>
    </row>
    <row r="27">
      <c r="A27" s="48" t="inlineStr">
        <is>
          <t>TOTAL margin</t>
        </is>
      </c>
      <c r="B27" s="84" t="n">
        <v>0.6860000000000001</v>
      </c>
    </row>
    <row r="28"/>
    <row r="29"/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702.2</v>
      </c>
      <c r="D32" s="86" t="n">
        <v>8426.400000000001</v>
      </c>
    </row>
    <row r="33">
      <c r="A33" s="71" t="n">
        <v>5000</v>
      </c>
      <c r="B33" s="71" t="n">
        <v>100</v>
      </c>
      <c r="C33" s="86" t="n">
        <v>3511</v>
      </c>
      <c r="D33" s="86" t="n">
        <v>42132</v>
      </c>
    </row>
    <row r="34">
      <c r="A34" s="71" t="n">
        <v>10000</v>
      </c>
      <c r="B34" s="71" t="n">
        <v>200</v>
      </c>
      <c r="C34" s="86" t="n">
        <v>7022</v>
      </c>
      <c r="D34" s="86" t="n">
        <v>84264</v>
      </c>
    </row>
    <row r="35">
      <c r="A35" s="71" t="n">
        <v>50000</v>
      </c>
      <c r="B35" s="71" t="n">
        <v>1000</v>
      </c>
      <c r="C35" s="86" t="n">
        <v>35110</v>
      </c>
      <c r="D35" s="86" t="n">
        <v>421320</v>
      </c>
    </row>
    <row r="36">
      <c r="A36" s="71" t="n">
        <v>100000</v>
      </c>
      <c r="B36" s="71" t="n">
        <v>2000</v>
      </c>
      <c r="C36" s="87" t="n">
        <v>70220</v>
      </c>
      <c r="D36" s="87" t="n">
        <v>842640</v>
      </c>
    </row>
    <row r="37"/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 outlineLevelCol="0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 outlineLevelCol="0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 outlineLevelCol="0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2026-06-01T08:50:02Z</dcterms:modified>
</cp:coreProperties>
</file>