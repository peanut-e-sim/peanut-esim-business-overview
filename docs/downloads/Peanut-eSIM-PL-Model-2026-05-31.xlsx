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5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4"/>
    <row r="5"/>
    <row r="6"/>
    <row r="7" ht="50" customHeight="1"/>
    <row r="8">
      <c r="A8" s="94" t="inlineStr">
        <is>
          <t>1. PER-TIER UNIT ECONOMICS (Bites 2-4) — single subscriber per month</t>
        </is>
      </c>
    </row>
    <row r="9"/>
    <row r="10">
      <c r="A10" s="121" t="inlineStr">
        <is>
          <t>GROUP 1 — INPUTS</t>
        </is>
      </c>
      <c r="E10" s="122" t="inlineStr">
        <is>
          <t>GROUP 2 — eSIM MATH</t>
        </is>
      </c>
      <c r="I10" s="123" t="inlineStr">
        <is>
          <t>GROUP 3 — PROFIT MATH</t>
        </is>
      </c>
    </row>
    <row r="11">
      <c r="A11" s="124" t="inlineStr">
        <is>
          <t>Tier</t>
        </is>
      </c>
      <c r="B11" s="124" t="inlineStr">
        <is>
          <t>Monthly Revenue</t>
        </is>
      </c>
      <c r="C11" s="124" t="inlineStr">
        <is>
          <t>GB Consumed</t>
        </is>
      </c>
      <c r="D11" s="124" t="inlineStr">
        <is>
          <t>Wholesale $/GB</t>
        </is>
      </c>
      <c r="E11" s="125" t="inlineStr">
        <is>
          <t>eSIM COGS</t>
        </is>
      </c>
      <c r="F11" s="125" t="inlineStr">
        <is>
          <t>Refuel Attach %</t>
        </is>
      </c>
      <c r="G11" s="125" t="inlineStr">
        <is>
          <t>Refuel Revenue</t>
        </is>
      </c>
      <c r="H11" s="125" t="inlineStr">
        <is>
          <t>Refuel COGS</t>
        </is>
      </c>
      <c r="I11" s="126" t="inlineStr">
        <is>
          <t>Total Revenue</t>
        </is>
      </c>
      <c r="J11" s="126" t="inlineStr">
        <is>
          <t>Total COGS</t>
        </is>
      </c>
      <c r="K11" s="126" t="inlineStr">
        <is>
          <t>Gross Profit</t>
        </is>
      </c>
      <c r="L11" s="126" t="inlineStr">
        <is>
          <t>Gross Margin %</t>
        </is>
      </c>
      <c r="M11" s="126" t="inlineStr">
        <is>
          <t>Net Margin (after OPEX)</t>
        </is>
      </c>
    </row>
    <row r="12">
      <c r="A12" s="90" t="inlineStr">
        <is>
          <t>Economy (PAYG)</t>
        </is>
      </c>
      <c r="B12" s="46">
        <f>'README &amp; Assumptions'!B14</f>
        <v/>
      </c>
      <c r="C12" s="49">
        <f>'User Behavior'!D21</f>
        <v/>
      </c>
      <c r="D12" s="46">
        <f>'README &amp; Assumptions'!C31</f>
        <v/>
      </c>
      <c r="E12" s="54">
        <f>C8*D8</f>
        <v/>
      </c>
      <c r="F12" s="81" t="n">
        <v>0</v>
      </c>
      <c r="G12" s="54">
        <f>F8*'README &amp; Assumptions'!B21</f>
        <v/>
      </c>
      <c r="H12" s="54">
        <f>F8*1*D8</f>
        <v/>
      </c>
      <c r="I12" s="54">
        <f>B8+G8</f>
        <v/>
      </c>
      <c r="J12" s="54">
        <f>E8+H8</f>
        <v/>
      </c>
      <c r="K12" s="54">
        <f>I8-J8</f>
        <v/>
      </c>
      <c r="L12" s="26">
        <f>IFERROR(K8/I8,0)</f>
        <v/>
      </c>
      <c r="M12" s="26">
        <f>IFERROR((K8-'README &amp; Assumptions'!B53)/I8,0)</f>
        <v/>
      </c>
    </row>
    <row r="13">
      <c r="A13" s="90" t="inlineStr">
        <is>
          <t>Roster Bundle</t>
        </is>
      </c>
      <c r="B13" s="46">
        <f>'README &amp; Assumptions'!B15</f>
        <v/>
      </c>
    </row>
    <row r="14">
      <c r="A14" s="90" t="inlineStr">
        <is>
          <t>Premium Economy</t>
        </is>
      </c>
      <c r="B14" s="46">
        <f>'README &amp; Assumptions'!B16</f>
        <v/>
      </c>
    </row>
    <row r="15">
      <c r="A15" s="93" t="inlineStr">
        <is>
          <t>Business</t>
        </is>
      </c>
      <c r="B15" s="101">
        <f>'README &amp; Assumptions'!B17</f>
        <v/>
      </c>
    </row>
    <row r="16">
      <c r="A16" s="90" t="inlineStr">
        <is>
          <t>First</t>
        </is>
      </c>
      <c r="B16" s="46">
        <f>'README &amp; Assumptions'!B18</f>
        <v/>
      </c>
    </row>
    <row r="17">
      <c r="A17" s="90" t="inlineStr">
        <is>
          <t>First Suite</t>
        </is>
      </c>
      <c r="B17" s="46">
        <f>'README &amp; Assumptions'!B19</f>
        <v/>
      </c>
    </row>
    <row r="18">
      <c r="A18" s="90" t="inlineStr">
        <is>
          <t>Cockpit (annual)</t>
        </is>
      </c>
      <c r="B18" s="46">
        <f>'README &amp; Assumptions'!B20</f>
        <v/>
      </c>
    </row>
    <row r="19"/>
    <row r="20">
      <c r="A20" s="39" t="inlineStr">
        <is>
          <t>⚠ Cockpit revenue here shows monthly equivalent ($24.92), not the annual $299 prepay. Cockpit ROI is best understood in Cockpit Logic tab.</t>
        </is>
      </c>
    </row>
    <row r="21"/>
    <row r="22">
      <c r="A22" s="94" t="inlineStr">
        <is>
          <t>2. HOW TO READ THIS TAB (Bite 2 — column-by-column)</t>
        </is>
      </c>
    </row>
    <row r="23">
      <c r="A23" s="95" t="inlineStr">
        <is>
          <t>Monthly Revenue</t>
        </is>
      </c>
      <c r="B23" s="90" t="inlineStr">
        <is>
          <t>What user pays us per month for their subscription/PAYG plan</t>
        </is>
      </c>
    </row>
    <row r="24">
      <c r="A24" s="95" t="inlineStr">
        <is>
          <t>GB Consumed</t>
        </is>
      </c>
      <c r="B24" s="90" t="inlineStr">
        <is>
          <t>How much data they actually USE (from Tab 2 per-tier rates, friction-adjusted)</t>
        </is>
      </c>
    </row>
    <row r="25">
      <c r="A25" s="95" t="inlineStr">
        <is>
          <t>Wholesale $/GB</t>
        </is>
      </c>
      <c r="B25" s="90" t="inlineStr">
        <is>
          <t>What we pay Samurai per GB consumed (blended Tier-A/B/C cost)</t>
        </is>
      </c>
    </row>
    <row r="26">
      <c r="A26" s="95" t="inlineStr">
        <is>
          <t>eSIM COGS</t>
        </is>
      </c>
      <c r="B26" s="90" t="inlineStr">
        <is>
          <t>GB consumed × wholesale $/GB = what we owe Samurai for this user</t>
        </is>
      </c>
    </row>
    <row r="27">
      <c r="A27" s="95" t="inlineStr">
        <is>
          <t>Refuel Revenue + COGS</t>
        </is>
      </c>
      <c r="B27" s="90" t="inlineStr">
        <is>
          <t>Some % of users top up. They pay $4.99 per 1 GB, we pay ~$0.85-$1.40 wholesale.</t>
        </is>
      </c>
    </row>
    <row r="28">
      <c r="A28" s="95" t="inlineStr">
        <is>
          <t>Total Revenue / COGS</t>
        </is>
      </c>
      <c r="B28" s="90" t="inlineStr">
        <is>
          <t>Sum of base + refuel</t>
        </is>
      </c>
    </row>
    <row r="29">
      <c r="A29" s="95" t="inlineStr">
        <is>
          <t>Gross Profit</t>
        </is>
      </c>
      <c r="B29" s="90" t="inlineStr">
        <is>
          <t>Total Revenue - Total COGS (before operating costs)</t>
        </is>
      </c>
    </row>
    <row r="30">
      <c r="A30" s="95" t="inlineStr">
        <is>
          <t>Gross Margin %</t>
        </is>
      </c>
      <c r="B30" s="90" t="inlineStr">
        <is>
          <t>Industry-standard profitability indicator. Target: 60-80%.</t>
        </is>
      </c>
    </row>
    <row r="31">
      <c r="A31" s="95" t="inlineStr">
        <is>
          <t>Net Margin (after OPEX)</t>
        </is>
      </c>
      <c r="B31" s="90" t="inlineStr">
        <is>
          <t>Gross Profit minus $1.80/user OPEX (cloud, payments, support, SMS, hosting)</t>
        </is>
      </c>
    </row>
    <row r="32"/>
    <row r="33"/>
    <row r="34">
      <c r="A34" s="94" t="inlineStr">
        <is>
          <t>3. SOURCES &amp; CONFIDENCE (Bite 5 — what feeds this tab)</t>
        </is>
      </c>
    </row>
    <row r="35">
      <c r="A35" s="41" t="inlineStr">
        <is>
          <t>Component</t>
        </is>
      </c>
    </row>
    <row r="36">
      <c r="A36" s="90" t="inlineStr">
        <is>
          <t>Retail prices</t>
        </is>
      </c>
    </row>
    <row r="37">
      <c r="A37" s="90" t="inlineStr">
        <is>
          <t>GB Consumed</t>
        </is>
      </c>
    </row>
    <row r="38">
      <c r="A38" s="90" t="inlineStr">
        <is>
          <t>Wholesale $/GB</t>
        </is>
      </c>
      <c r="B38" s="90" t="inlineStr">
        <is>
          <t>Real wholesale rate sheet, weighted by 75/20/5 country mix (updated 2026-06-01)</t>
        </is>
      </c>
      <c r="C38" s="90" t="inlineStr">
        <is>
          <t>MEDIUM (mix is placeholder)</t>
        </is>
      </c>
    </row>
    <row r="39">
      <c r="A39" s="90" t="inlineStr">
        <is>
          <t>Refuel attach %</t>
        </is>
      </c>
      <c r="B39" s="90" t="inlineStr">
        <is>
          <t>MY ESTIMATE per tier (10-40%)</t>
        </is>
      </c>
      <c r="C39" s="90" t="inlineStr">
        <is>
          <t>LOW (needs validation)</t>
        </is>
      </c>
    </row>
    <row r="40">
      <c r="A40" s="90" t="inlineStr">
        <is>
          <t>OPEX $1.80/user</t>
        </is>
      </c>
      <c r="B40" s="90" t="inlineStr">
        <is>
          <t>Tab 1 Section 5 — payment processing $1.20 + others</t>
        </is>
      </c>
      <c r="C40" s="90" t="inlineStr">
        <is>
          <t>MEDIUM</t>
        </is>
      </c>
    </row>
    <row r="41"/>
    <row r="42"/>
    <row r="43">
      <c r="A43" s="94" t="inlineStr">
        <is>
          <t>4. VALIDATION QUEUE (open items)</t>
        </is>
      </c>
    </row>
    <row r="44">
      <c r="A44" s="39" t="inlineStr">
        <is>
          <t>• Per-tier refuel attach rates (10/20/25/40/20/15%) — validate via app analytics post-launch</t>
        </is>
      </c>
    </row>
    <row r="45">
      <c r="A45" s="39" t="inlineStr">
        <is>
          <t>• Wholesale country mix updated to 75/20/5 on 2026-06-01 (Emirates-realistic). Validate via 5-10 sample crew rosters.</t>
        </is>
      </c>
    </row>
    <row r="46">
      <c r="A46" s="39" t="inlineStr">
        <is>
          <t>• Per-tier consumption rates inherited from Tab 2 (same validation as Tab 2)</t>
        </is>
      </c>
    </row>
    <row r="47">
      <c r="A47" s="39" t="inlineStr">
        <is>
          <t>• Sensitivity test: what happens if Premium consumption is 50% instead of 40%?</t>
        </is>
      </c>
    </row>
  </sheetData>
  <mergeCells count="26">
    <mergeCell ref="A17:D17"/>
    <mergeCell ref="D9:M9"/>
    <mergeCell ref="B23:M23"/>
    <mergeCell ref="A4:M4"/>
    <mergeCell ref="D8:M8"/>
    <mergeCell ref="A43:M43"/>
    <mergeCell ref="B19:M19"/>
    <mergeCell ref="A40:M40"/>
    <mergeCell ref="D10:M10"/>
    <mergeCell ref="B24:M24"/>
    <mergeCell ref="E17:H17"/>
    <mergeCell ref="A1:M1"/>
    <mergeCell ref="B20:M20"/>
    <mergeCell ref="D6:M6"/>
    <mergeCell ref="B26:M26"/>
    <mergeCell ref="A41:M41"/>
    <mergeCell ref="A16:M16"/>
    <mergeCell ref="I17:M17"/>
    <mergeCell ref="B25:M25"/>
    <mergeCell ref="B22:M22"/>
    <mergeCell ref="A3:M3"/>
    <mergeCell ref="D7:M7"/>
    <mergeCell ref="B27:M27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2026-06-01T12:37:04Z</dcterms:modified>
</cp:coreProperties>
</file>