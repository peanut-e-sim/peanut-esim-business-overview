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46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  <font>
      <b val="1"/>
      <color rgb="007A5A10"/>
    </font>
    <font>
      <i val="1"/>
    </font>
    <font>
      <b val="1"/>
      <color rgb="00FFFFFF"/>
    </font>
    <font>
      <b val="1"/>
      <color rgb="00C9A03B"/>
    </font>
    <font>
      <b val="1"/>
      <color rgb="00008000"/>
    </font>
    <font>
      <b val="1"/>
      <color rgb="00FFFFFF"/>
      <sz val="11"/>
    </font>
    <font>
      <b val="1"/>
      <i val="1"/>
      <sz val="11"/>
    </font>
  </fonts>
  <fills count="25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  <fill>
      <patternFill patternType="solid">
        <fgColor rgb="00FFFF00"/>
        <bgColor rgb="00FFFF00"/>
      </patternFill>
    </fill>
    <fill>
      <patternFill patternType="solid">
        <fgColor rgb="00FAF6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  <xf numFmtId="176" fontId="32" fillId="23" borderId="1" applyAlignment="1" pivotButton="0" quotePrefix="0" xfId="0">
      <alignment horizontal="left" vertical="center" wrapText="1"/>
    </xf>
    <xf numFmtId="0" fontId="27" fillId="23" borderId="1" applyAlignment="1" pivotButton="0" quotePrefix="0" xfId="0">
      <alignment horizontal="left" vertical="center" wrapText="1"/>
    </xf>
    <xf numFmtId="176" fontId="27" fillId="23" borderId="1" applyAlignment="1" pivotButton="0" quotePrefix="0" xfId="0">
      <alignment horizontal="left" vertical="center" wrapText="1"/>
    </xf>
    <xf numFmtId="0" fontId="39" fillId="23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38" fillId="4" borderId="0" pivotButton="0" quotePrefix="0" xfId="0"/>
    <xf numFmtId="0" fontId="40" fillId="0" borderId="0" pivotButton="0" quotePrefix="0" xfId="0"/>
    <xf numFmtId="0" fontId="41" fillId="4" borderId="0" applyAlignment="1" pivotButton="0" quotePrefix="0" xfId="0">
      <alignment horizontal="center" vertical="center" wrapText="1"/>
    </xf>
    <xf numFmtId="0" fontId="36" fillId="0" borderId="0" pivotButton="0" quotePrefix="0" xfId="0"/>
    <xf numFmtId="173" fontId="36" fillId="0" borderId="0" pivotButton="0" quotePrefix="0" xfId="0"/>
    <xf numFmtId="0" fontId="42" fillId="0" borderId="0" pivotButton="0" quotePrefix="0" xfId="0"/>
    <xf numFmtId="173" fontId="42" fillId="0" borderId="0" pivotButton="0" quotePrefix="0" xfId="0"/>
    <xf numFmtId="165" fontId="43" fillId="0" borderId="0" pivotButton="0" quotePrefix="0" xfId="0"/>
    <xf numFmtId="0" fontId="44" fillId="4" borderId="0" pivotButton="0" quotePrefix="0" xfId="0"/>
    <xf numFmtId="176" fontId="42" fillId="0" borderId="0" pivotButton="0" quotePrefix="0" xfId="0"/>
    <xf numFmtId="0" fontId="45" fillId="2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Balraj / Claude</author>
  </authors>
  <commentList>
    <comment ref="C18" authorId="0" shapeId="0">
      <text>
        <t>PLACEHOLDER — no actual spend yet as of 2026-06-01. These fixed burn figures are estimates only. Update once real costs are tracked.</t>
      </text>
    </comment>
    <comment ref="A26" authorId="0" shapeId="0">
      <text>
        <t>PLACEHOLDER — no actual spend yet as of 2026-06-01. These fixed burn figures are estimates only. Update once real costs are tracked.</t>
      </text>
    </comment>
    <comment ref="C26" authorId="0" shapeId="0">
      <text>
        <t>PLACEHOLDER — no actual spend yet as of 2026-06-01. These fixed burn figures are estimates only. Update once real costs are tracked.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41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42" t="inlineStr">
        <is>
          <t>TOTAL fixed monthly burn (early)</t>
        </is>
      </c>
      <c r="B26" s="113" t="inlineStr"/>
      <c r="C26" s="143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8">
      <c r="A28" s="144" t="inlineStr">
        <is>
          <t>⚠️ PLACEHOLDER NOTICE</t>
        </is>
      </c>
      <c r="B28" s="144" t="inlineStr">
        <is>
          <t>The "Early" fixed burn column (C) totalling ~$11,713/mo is a placeholder estimate. No actual expenses have been incurred as of 2026-06-01. Do not present this as real spend data.</t>
        </is>
      </c>
    </row>
    <row r="29" ht="26" customHeight="1"/>
    <row r="30" ht="30" customHeight="1">
      <c r="A30" s="107" t="inlineStr">
        <is>
          <t>Section 3 — Variable scaling costs (marketing &amp; growth)</t>
        </is>
      </c>
    </row>
    <row r="31">
      <c r="A31" s="108" t="inlineStr">
        <is>
          <t>Cost line</t>
        </is>
      </c>
      <c r="B31" s="108" t="inlineStr">
        <is>
          <t>Pre-launch</t>
        </is>
      </c>
      <c r="C31" s="108" t="inlineStr">
        <is>
          <t>Early</t>
        </is>
      </c>
      <c r="D31" s="108" t="inlineStr">
        <is>
          <t>Growth</t>
        </is>
      </c>
      <c r="E31" s="108" t="inlineStr">
        <is>
          <t>Notes</t>
        </is>
      </c>
    </row>
    <row r="32">
      <c r="A32" s="109" t="inlineStr">
        <is>
          <t>Crew WhatsApp acquisition (Akito's network)</t>
        </is>
      </c>
      <c r="B32" s="116" t="n">
        <v>0</v>
      </c>
      <c r="C32" s="116" t="n">
        <v>0</v>
      </c>
      <c r="D32" s="116" t="n">
        <v>0</v>
      </c>
      <c r="E32" s="111" t="inlineStr">
        <is>
          <t>Free organic — the wedge</t>
        </is>
      </c>
    </row>
    <row r="33">
      <c r="A33" s="109" t="inlineStr">
        <is>
          <t>Referral incentives ($5 credit per referral)</t>
        </is>
      </c>
      <c r="B33" s="116" t="n">
        <v>0</v>
      </c>
      <c r="C33" s="116" t="n">
        <v>500</v>
      </c>
      <c r="D33" s="116" t="n">
        <v>2000</v>
      </c>
      <c r="E33" s="111" t="inlineStr">
        <is>
          <t>Scale with user growth</t>
        </is>
      </c>
    </row>
    <row r="34">
      <c r="A34" s="109" t="inlineStr">
        <is>
          <t>Paid social (Instagram crew creators)</t>
        </is>
      </c>
      <c r="B34" s="116" t="n">
        <v>0</v>
      </c>
      <c r="C34" s="116" t="n">
        <v>500</v>
      </c>
      <c r="D34" s="116" t="n">
        <v>5000</v>
      </c>
      <c r="E34" s="111" t="inlineStr">
        <is>
          <t>Phase 2 onwards</t>
        </is>
      </c>
    </row>
    <row r="35">
      <c r="A35" s="109" t="inlineStr">
        <is>
          <t>Content marketing (Akito blog/JP content)</t>
        </is>
      </c>
      <c r="B35" s="116" t="n">
        <v>0</v>
      </c>
      <c r="C35" s="116" t="n">
        <v>0</v>
      </c>
      <c r="D35" s="116" t="n">
        <v>0</v>
      </c>
      <c r="E35" s="111" t="inlineStr">
        <is>
          <t>Time-based, no $ cost</t>
        </is>
      </c>
    </row>
    <row r="36">
      <c r="A36" s="109" t="inlineStr">
        <is>
          <t>Beta crew gifts/swag</t>
        </is>
      </c>
      <c r="B36" s="116" t="n">
        <v>200</v>
      </c>
      <c r="C36" s="116" t="n">
        <v>0</v>
      </c>
      <c r="D36" s="116" t="n">
        <v>0</v>
      </c>
      <c r="E36" s="111" t="inlineStr">
        <is>
          <t>One-time ($200) — placed in pre-launch column</t>
        </is>
      </c>
    </row>
    <row r="37">
      <c r="A37" s="109" t="inlineStr">
        <is>
          <t>Crew interview compensation</t>
        </is>
      </c>
      <c r="B37" s="116" t="n">
        <v>0</v>
      </c>
      <c r="C37" s="116" t="n">
        <v>0</v>
      </c>
      <c r="D37" s="116" t="n">
        <v>0</v>
      </c>
      <c r="E37" s="111" t="inlineStr">
        <is>
          <t>$50 × 20-30 crew, one-time — see Section 4</t>
        </is>
      </c>
    </row>
    <row r="38">
      <c r="A38" s="109" t="inlineStr">
        <is>
          <t>Conferences / events</t>
        </is>
      </c>
      <c r="B38" s="116" t="n">
        <v>0</v>
      </c>
      <c r="C38" s="116" t="n">
        <v>0</v>
      </c>
      <c r="D38" s="116" t="n">
        <v>3000</v>
      </c>
      <c r="E38" s="111" t="inlineStr">
        <is>
          <t>Year 2+ when we have product</t>
        </is>
      </c>
    </row>
    <row r="39">
      <c r="A39" s="113" t="inlineStr">
        <is>
          <t>TOTAL marketing (early stage)</t>
        </is>
      </c>
      <c r="B39" s="113" t="inlineStr"/>
      <c r="C39" s="117">
        <f>SUM(C31:C37)</f>
        <v/>
      </c>
      <c r="D39" s="113" t="inlineStr"/>
      <c r="E39" s="115" t="inlineStr">
        <is>
          <t>(sum) — quoted $1,000</t>
        </is>
      </c>
    </row>
    <row r="40">
      <c r="A40" s="113" t="inlineStr">
        <is>
          <t>TOTAL marketing (growth stage)</t>
        </is>
      </c>
      <c r="B40" s="113" t="inlineStr"/>
      <c r="C40" s="113" t="inlineStr"/>
      <c r="D40" s="117">
        <f>SUM(D31:D37)</f>
        <v/>
      </c>
      <c r="E40" s="115" t="inlineStr">
        <is>
          <t>(sum) — quoted $10,000</t>
        </is>
      </c>
    </row>
    <row r="41" ht="26" customHeight="1"/>
    <row r="42" ht="30" customHeight="1">
      <c r="A42" s="107" t="inlineStr">
        <is>
          <t>Section 4 — One-time costs</t>
        </is>
      </c>
    </row>
    <row r="43">
      <c r="A43" s="108" t="inlineStr">
        <is>
          <t>Cost</t>
        </is>
      </c>
      <c r="B43" s="108" t="inlineStr">
        <is>
          <t>Amount</t>
        </is>
      </c>
      <c r="C43" s="108" t="inlineStr">
        <is>
          <t>When</t>
        </is>
      </c>
      <c r="D43" s="108" t="inlineStr"/>
      <c r="E43" s="108" t="inlineStr"/>
    </row>
    <row r="44">
      <c r="A44" s="109" t="inlineStr">
        <is>
          <t>Delaware LLC filing</t>
        </is>
      </c>
      <c r="B44" s="116" t="n">
        <v>90</v>
      </c>
      <c r="C44" s="111" t="inlineStr">
        <is>
          <t>This week</t>
        </is>
      </c>
      <c r="D44" s="109" t="inlineStr"/>
      <c r="E44" s="109" t="inlineStr"/>
    </row>
    <row r="45">
      <c r="A45" s="109" t="inlineStr">
        <is>
          <t>Trademark Class 35 search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Trademark Class 9/38 filing</t>
        </is>
      </c>
      <c r="B46" s="116" t="n">
        <v>1500</v>
      </c>
      <c r="C46" s="111" t="inlineStr">
        <is>
          <t>Before public launch</t>
        </is>
      </c>
      <c r="D46" s="109" t="inlineStr"/>
      <c r="E46" s="109" t="inlineStr"/>
    </row>
    <row r="47">
      <c r="A47" s="109" t="inlineStr">
        <is>
          <t>moonlight.ventures domain (5 years)</t>
        </is>
      </c>
      <c r="B47" s="116" t="n">
        <v>125</v>
      </c>
      <c r="C47" s="111" t="inlineStr">
        <is>
          <t>This week</t>
        </is>
      </c>
      <c r="D47" s="109" t="inlineStr"/>
      <c r="E47" s="109" t="inlineStr"/>
    </row>
    <row r="48">
      <c r="A48" s="109" t="inlineStr">
        <is>
          <t>Initial Apple Developer enrollment</t>
        </is>
      </c>
      <c r="B48" s="116" t="n">
        <v>99</v>
      </c>
      <c r="C48" s="111" t="inlineStr">
        <is>
          <t>LLC formation prereq</t>
        </is>
      </c>
      <c r="D48" s="109" t="inlineStr"/>
      <c r="E48" s="109" t="inlineStr"/>
    </row>
    <row r="49">
      <c r="A49" s="109" t="inlineStr">
        <is>
          <t>Mercury bank setup</t>
        </is>
      </c>
      <c r="B49" s="116" t="n">
        <v>0</v>
      </c>
      <c r="C49" s="111" t="inlineStr">
        <is>
          <t>Free</t>
        </is>
      </c>
      <c r="D49" s="109" t="inlineStr"/>
      <c r="E49" s="109" t="inlineStr"/>
    </row>
    <row r="50">
      <c r="A50" s="109" t="inlineStr">
        <is>
          <t>Initial Samurai onboarding fees</t>
        </is>
      </c>
      <c r="B50" s="116" t="n">
        <v>0</v>
      </c>
      <c r="C50" s="111" t="inlineStr">
        <is>
          <t>None</t>
        </is>
      </c>
      <c r="D50" s="109" t="inlineStr"/>
      <c r="E50" s="109" t="inlineStr"/>
    </row>
    <row r="51">
      <c r="A51" s="113" t="inlineStr">
        <is>
          <t>TOTAL one-time</t>
        </is>
      </c>
      <c r="B51" s="117">
        <f>SUM(B43:B49)</f>
        <v/>
      </c>
      <c r="C51" s="115" t="inlineStr">
        <is>
          <t>(sum) — quoted $3,314</t>
        </is>
      </c>
      <c r="D51" s="113" t="inlineStr"/>
      <c r="E51" s="113" t="inlineStr"/>
    </row>
    <row r="52" ht="26" customHeight="1"/>
    <row r="53" ht="30" customHeight="1">
      <c r="A53" s="107" t="inlineStr">
        <is>
          <t>Section 5 — Validation queue</t>
        </is>
      </c>
    </row>
    <row r="54">
      <c r="A54" s="108" t="inlineStr">
        <is>
          <t>Open validation item</t>
        </is>
      </c>
      <c r="B54" s="118" t="n"/>
      <c r="C54" s="118" t="n"/>
      <c r="D54" s="118" t="n"/>
      <c r="E54" s="119" t="n"/>
    </row>
    <row r="55">
      <c r="A55" s="112" t="inlineStr">
        <is>
          <t>☐  Validate Stripe payment processing actual rate post-launch</t>
        </is>
      </c>
      <c r="B55" s="118" t="n"/>
      <c r="C55" s="118" t="n"/>
      <c r="D55" s="118" t="n"/>
      <c r="E55" s="119" t="n"/>
    </row>
    <row r="56">
      <c r="A56" s="112" t="inlineStr">
        <is>
          <t>☐  Validate customer support cost as we hire</t>
        </is>
      </c>
      <c r="B56" s="118" t="n"/>
      <c r="C56" s="118" t="n"/>
      <c r="D56" s="118" t="n"/>
      <c r="E56" s="119" t="n"/>
    </row>
    <row r="57">
      <c r="A57" s="112" t="inlineStr">
        <is>
          <t>☐  Validate refund cost from real data months 1-3</t>
        </is>
      </c>
      <c r="B57" s="118" t="n"/>
      <c r="C57" s="118" t="n"/>
      <c r="D57" s="118" t="n"/>
      <c r="E57" s="119" t="n"/>
    </row>
    <row r="58">
      <c r="A58" s="112" t="inlineStr">
        <is>
          <t>☐  Validate FX fee impact on non-USD purchases</t>
        </is>
      </c>
      <c r="B58" s="118" t="n"/>
      <c r="C58" s="118" t="n"/>
      <c r="D58" s="118" t="n"/>
      <c r="E58" s="119" t="n"/>
    </row>
    <row r="59">
      <c r="A59" s="112" t="inlineStr">
        <is>
          <t>☐  Validate marketing CAC after first campaign</t>
        </is>
      </c>
      <c r="B59" s="118" t="n"/>
      <c r="C59" s="118" t="n"/>
      <c r="D59" s="118" t="n"/>
      <c r="E59" s="119" t="n"/>
    </row>
    <row r="60">
      <c r="A60" s="112" t="inlineStr">
        <is>
          <t>☐  Validate insurance quote (currently estimate)</t>
        </is>
      </c>
      <c r="B60" s="118" t="n"/>
      <c r="C60" s="118" t="n"/>
      <c r="D60" s="118" t="n"/>
      <c r="E60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Soft Launch (Emirates seed)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Multi-Airline (+ JAL + ANA)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</row>
    <row r="11"/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 t="n">
        <v>3.65</v>
      </c>
      <c r="E15" s="86" t="n">
        <v>1825</v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 t="n">
        <v>13.6</v>
      </c>
      <c r="E16" s="86" t="n">
        <v>2448</v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 t="n">
        <v>13.35</v>
      </c>
      <c r="E17" s="86" t="n">
        <v>1736</v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 t="n">
        <v>21.84</v>
      </c>
      <c r="E18" s="86" t="n">
        <v>1747</v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 t="n">
        <v>23.33</v>
      </c>
      <c r="E19" s="86" t="n">
        <v>700</v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 t="n">
        <v>33</v>
      </c>
      <c r="E20" s="86" t="n">
        <v>660</v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 t="n">
        <v>15.8</v>
      </c>
      <c r="E21" s="86" t="n">
        <v>474</v>
      </c>
    </row>
    <row r="22">
      <c r="A22" s="43" t="inlineStr">
        <is>
          <t>TOTAL</t>
        </is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128" t="n">
        <v>9590</v>
      </c>
    </row>
    <row r="26">
      <c r="A26" s="90" t="inlineStr">
        <is>
          <t>OPEX (1,000 users × $1.80)</t>
        </is>
      </c>
      <c r="B26" s="128" t="n">
        <v>-1800</v>
      </c>
    </row>
    <row r="27">
      <c r="A27" s="90" t="inlineStr">
        <is>
          <t>Monthly Net Profit</t>
        </is>
      </c>
      <c r="B27" s="129" t="n">
        <v>7790</v>
      </c>
    </row>
    <row r="28">
      <c r="A28" s="90" t="inlineStr">
        <is>
          <t>Annual Net Profit</t>
        </is>
      </c>
    </row>
    <row r="30">
      <c r="A30" s="130" t="inlineStr">
        <is>
          <t>Bottom line: 1,000 users → $93,480/year. Scale to 10,000 → ~$935K/year. Scale to 100K → ~$9.35M/year.</t>
        </is>
      </c>
    </row>
  </sheetData>
  <mergeCells count="5">
    <mergeCell ref="A22:J22"/>
    <mergeCell ref="A2:J2"/>
    <mergeCell ref="A10:J10"/>
    <mergeCell ref="A28:J28"/>
    <mergeCell ref="A11:J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60" customWidth="1" min="9" max="9"/>
    <col width="60" customWidth="1" min="10" max="10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  <c r="I4" s="136" t="inlineStr">
        <is>
          <t>What this means (user behavior)</t>
        </is>
      </c>
    </row>
    <row r="5">
      <c r="A5" s="9" t="inlineStr">
        <is>
          <t>🌴 Casual Travelers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  <c r="I5" s="145" t="inlineStr">
        <is>
          <t>Non-crew leisure travelers who fly 2-4x/year for vacation. Light data use, not loyal. Acts like an Airalo customer, not a crew member.</t>
        </is>
      </c>
    </row>
    <row r="6">
      <c r="A6" s="9" t="inlineStr">
        <is>
          <t>✈️ Crew Standard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  <c r="I6" s="145" t="inlineStr">
        <is>
          <t>Realistic crew mix. Most users are cabin crew flying 15-25 flights/month, mix of short-haul and long-haul. Current base assumption.</t>
        </is>
      </c>
    </row>
    <row r="7">
      <c r="A7" s="9" t="inlineStr">
        <is>
          <t>🔥 Power Crew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  <c r="I7" s="145" t="inlineStr">
        <is>
          <t>Heavy-flier dominance. Long-haul pursers, senior crew on multi-leg pairings. They consume nearly all the pool every month.</t>
        </is>
      </c>
    </row>
    <row r="8">
      <c r="A8" s="9" t="inlineStr">
        <is>
          <t>💔 One-and-Done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  <c r="I8" s="145" t="inlineStr">
        <is>
          <t>High churn (30% of users disappear after one trip). Typical if we accidentally market to casual vacationers instead of working crew.</t>
        </is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136" t="inlineStr">
        <is>
          <t>What this means (who is buying what)</t>
        </is>
      </c>
    </row>
    <row r="15">
      <c r="A15" s="90" t="inlineStr">
        <is>
          <t>🪤 PAYG Trap (most users stay on $4.99 Economy)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146" t="inlineStr">
        <is>
          <t>🪤 70% of users stuck on Economy PAYG ($4.99). They never upgrade to a subscription. Worst case for ARPU. Conversion funnel is broken.</t>
        </is>
      </c>
    </row>
    <row r="16">
      <c r="A16" s="90" t="inlineStr">
        <is>
          <t>🚀 Launch Reality (Months 1-6, Economy-heavy)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146" t="inlineStr">
        <is>
          <t>🚀 Months 1-6 reality — 80% of new signups land on Economy, only 20% commit to subscription. Honest launch period before social proof kicks in.</t>
        </is>
      </c>
    </row>
    <row r="17">
      <c r="A17" s="93" t="inlineStr">
        <is>
          <t>🎯 Steady State (CURRENT model — our default bet)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147" t="inlineStr">
        <is>
          <t>🎯 Our base case. Half of users buy Economy/PAYG, half spread across Roster + Premium + Business + First. Steady-state assumption.</t>
        </is>
      </c>
    </row>
    <row r="18">
      <c r="A18" s="90" t="inlineStr">
        <is>
          <t>📈 Ladder Climbers (strong subscription uptake)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146" t="inlineStr">
        <is>
          <t>📈 Strong conversion. Only 35% stay on Economy, the rest climb the ladder. Achievable if we nudge upgrades aggressively in onboarding.</t>
        </is>
      </c>
    </row>
    <row r="19">
      <c r="A19" s="90" t="inlineStr">
        <is>
          <t>👑 Mature Crew (Year 2+, subscriptions dominate)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146" t="inlineStr">
        <is>
          <t>👑 Mature population (Year 2+). Most users are now on subscription tiers. Cockpit annual and First/Suite are growing. Best ARPU case.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  <row r="23">
      <c r="A23" s="148" t="inlineStr">
        <is>
          <t>WORKED EXAMPLE — 100 users in TWO worlds</t>
        </is>
      </c>
    </row>
    <row r="24">
      <c r="A24" s="149" t="inlineStr">
        <is>
          <t>Same 100 users, same supplier costs. The ONLY difference is which tier they pick.</t>
        </is>
      </c>
    </row>
    <row r="26">
      <c r="A26" s="150" t="inlineStr">
        <is>
          <t>Tier</t>
        </is>
      </c>
      <c r="B26" s="150" t="inlineStr">
        <is>
          <t>🚀 Launch Reality
(80% on Economy)</t>
        </is>
      </c>
      <c r="C26" s="150" t="inlineStr">
        <is>
          <t>Per-user net</t>
        </is>
      </c>
      <c r="D26" s="150" t="inlineStr">
        <is>
          <t>Total / mo</t>
        </is>
      </c>
      <c r="E26" s="150" t="inlineStr">
        <is>
          <t>📈 Ladder Climbers
(35% on Economy)</t>
        </is>
      </c>
      <c r="F26" s="150" t="inlineStr">
        <is>
          <t>Per-user net</t>
        </is>
      </c>
      <c r="G26" s="150" t="inlineStr">
        <is>
          <t>Total / mo</t>
        </is>
      </c>
    </row>
    <row r="27">
      <c r="A27" t="inlineStr">
        <is>
          <t>Economy ($4.99/$12.48 realistic)</t>
        </is>
      </c>
      <c r="B27" t="n">
        <v>80</v>
      </c>
      <c r="C27" s="54" t="n">
        <v>9.130000000000001</v>
      </c>
      <c r="D27" s="54">
        <f>B27*C27</f>
        <v/>
      </c>
      <c r="E27" t="n">
        <v>35</v>
      </c>
      <c r="F27" s="54" t="n">
        <v>9.130000000000001</v>
      </c>
      <c r="G27" s="54">
        <f>E27*F27</f>
        <v/>
      </c>
    </row>
    <row r="28">
      <c r="A28" t="inlineStr">
        <is>
          <t>Roster Bundle ($19.95)</t>
        </is>
      </c>
      <c r="B28" t="n">
        <v>10</v>
      </c>
      <c r="C28" s="54" t="n">
        <v>13.62</v>
      </c>
      <c r="D28" s="54">
        <f>B28*C28</f>
        <v/>
      </c>
      <c r="E28" t="n">
        <v>22</v>
      </c>
      <c r="F28" s="54" t="n">
        <v>13.62</v>
      </c>
      <c r="G28" s="54">
        <f>E28*F28</f>
        <v/>
      </c>
    </row>
    <row r="29">
      <c r="A29" t="inlineStr">
        <is>
          <t>Premium Economy ($17.99)</t>
        </is>
      </c>
      <c r="B29" t="n">
        <v>5</v>
      </c>
      <c r="C29" s="54" t="n">
        <v>13.36</v>
      </c>
      <c r="D29" s="54">
        <f>B29*C29</f>
        <v/>
      </c>
      <c r="E29" t="n">
        <v>18</v>
      </c>
      <c r="F29" s="54" t="n">
        <v>13.36</v>
      </c>
      <c r="G29" s="54">
        <f>E29*F29</f>
        <v/>
      </c>
    </row>
    <row r="30">
      <c r="A30" t="inlineStr">
        <is>
          <t>Business ($29.99)</t>
        </is>
      </c>
      <c r="B30" t="n">
        <v>3</v>
      </c>
      <c r="C30" s="54" t="n">
        <v>21.86</v>
      </c>
      <c r="D30" s="54">
        <f>B30*C30</f>
        <v/>
      </c>
      <c r="E30" t="n">
        <v>12</v>
      </c>
      <c r="F30" s="54" t="n">
        <v>21.86</v>
      </c>
      <c r="G30" s="54">
        <f>E30*F30</f>
        <v/>
      </c>
    </row>
    <row r="31">
      <c r="A31" t="inlineStr">
        <is>
          <t>First ($39.99)</t>
        </is>
      </c>
      <c r="B31" t="n">
        <v>1</v>
      </c>
      <c r="C31" s="54" t="n">
        <v>28.05</v>
      </c>
      <c r="D31" s="54">
        <f>B31*C31</f>
        <v/>
      </c>
      <c r="E31" t="n">
        <v>5</v>
      </c>
      <c r="F31" s="54" t="n">
        <v>28.05</v>
      </c>
      <c r="G31" s="54">
        <f>E31*F31</f>
        <v/>
      </c>
    </row>
    <row r="32">
      <c r="A32" t="inlineStr">
        <is>
          <t>First Suite ($49.99)</t>
        </is>
      </c>
      <c r="B32" t="n">
        <v>1</v>
      </c>
      <c r="C32" s="54" t="n">
        <v>33.03</v>
      </c>
      <c r="D32" s="54">
        <f>B32*C32</f>
        <v/>
      </c>
      <c r="E32" t="n">
        <v>3</v>
      </c>
      <c r="F32" s="54" t="n">
        <v>33.03</v>
      </c>
      <c r="G32" s="54">
        <f>E32*F32</f>
        <v/>
      </c>
    </row>
    <row r="33">
      <c r="A33" t="inlineStr">
        <is>
          <t>Cockpit ($24.92 mo equiv)</t>
        </is>
      </c>
      <c r="B33" t="n">
        <v>0</v>
      </c>
      <c r="C33" s="54" t="n">
        <v>15.82</v>
      </c>
      <c r="D33" s="54">
        <f>B33*C33</f>
        <v/>
      </c>
      <c r="E33" t="n">
        <v>5</v>
      </c>
      <c r="F33" s="54" t="n">
        <v>15.82</v>
      </c>
      <c r="G33" s="54">
        <f>E33*F33</f>
        <v/>
      </c>
    </row>
    <row r="34">
      <c r="A34" s="151" t="inlineStr">
        <is>
          <t>TOTAL (100 users)</t>
        </is>
      </c>
      <c r="B34" s="151">
        <f>SUM(B27:B33)</f>
        <v/>
      </c>
      <c r="D34" s="152">
        <f>SUM(D27:D33)</f>
        <v/>
      </c>
      <c r="E34" s="151">
        <f>SUM(E27:E33)</f>
        <v/>
      </c>
      <c r="G34" s="152">
        <f>SUM(G27:G33)</f>
        <v/>
      </c>
    </row>
    <row r="35">
      <c r="A35" s="153" t="inlineStr">
        <is>
          <t>Blended net per user/mo</t>
        </is>
      </c>
      <c r="D35" s="154">
        <f>D34/B34</f>
        <v/>
      </c>
      <c r="G35" s="154">
        <f>G34/E34</f>
        <v/>
      </c>
    </row>
    <row r="36">
      <c r="A36" s="149" t="inlineStr">
        <is>
          <t>The lift from converting Economy → subscription:</t>
        </is>
      </c>
      <c r="G36" s="155">
        <f>(G34-D34)/D34</f>
        <v/>
      </c>
    </row>
    <row r="38">
      <c r="A38" s="156" t="inlineStr">
        <is>
          <t>AT 5,000 USERS (Month 24 target)</t>
        </is>
      </c>
    </row>
    <row r="39">
      <c r="A39" t="inlineStr">
        <is>
          <t>🚀 Launch Reality at 5K users (monthly)</t>
        </is>
      </c>
      <c r="D39" s="86">
        <f>D35*5000</f>
        <v/>
      </c>
    </row>
    <row r="40">
      <c r="A40" t="inlineStr">
        <is>
          <t>📈 Ladder Climbers at 5K users (monthly)</t>
        </is>
      </c>
      <c r="D40" s="86">
        <f>G35*5000</f>
        <v/>
      </c>
    </row>
    <row r="41">
      <c r="A41" s="153" t="inlineStr">
        <is>
          <t>Annual difference (Ladder Climbers vs Launch Reality)</t>
        </is>
      </c>
      <c r="D41" s="157">
        <f>(D40-D39)*12</f>
        <v/>
      </c>
    </row>
    <row r="43">
      <c r="A43" s="158" t="inlineStr">
        <is>
          <t>THE BOTTOM LINE: Getting users to climb the ladder is the #1 profit lever. Same supplier costs, +37% revenue.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9" t="inlineStr">
        <is>
          <t>Cockpit</t>
        </is>
      </c>
      <c r="B12" s="29" t="n">
        <v>0.006</v>
      </c>
      <c r="C12" s="20">
        <f>IFERROR(1/B12,0)</f>
        <v/>
      </c>
      <c r="D12" s="14" t="inlineStr">
        <is>
          <t>Annual prepay = automatic 12-mo retention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8" t="inlineStr">
        <is>
          <t>CUSTOMER ACQUISITION COST (per-channel blended avg)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9" t="inlineStr">
        <is>
          <t>Organic / word-of-mouth</t>
        </is>
      </c>
      <c r="B18" s="13" t="n">
        <v>0.5</v>
      </c>
      <c r="C18" s="28" t="n">
        <v>0</v>
      </c>
      <c r="D18" s="14" t="inlineStr">
        <is>
          <t>Crew network referrals — free</t>
        </is>
      </c>
    </row>
    <row r="19">
      <c r="A19" s="9" t="inlineStr">
        <is>
          <t>Referral bonus ($5 credit)</t>
        </is>
      </c>
      <c r="B19" s="13" t="n">
        <v>0.25</v>
      </c>
      <c r="C19" s="28" t="n">
        <v>5</v>
      </c>
      <c r="D19" s="14" t="inlineStr">
        <is>
          <t>Existing user refers</t>
        </is>
      </c>
    </row>
    <row r="20">
      <c r="A20" s="9" t="inlineStr">
        <is>
          <t>Paid social (IG/TikTok)</t>
        </is>
      </c>
      <c r="B20" s="13" t="n">
        <v>0.15</v>
      </c>
      <c r="C20" s="28" t="n">
        <v>12</v>
      </c>
      <c r="D20" s="14" t="inlineStr">
        <is>
          <t>Cold acquisition</t>
        </is>
      </c>
    </row>
    <row r="21">
      <c r="A21" t="inlineStr">
        <is>
          <t>Influencer / crew creator</t>
        </is>
      </c>
      <c r="B21" t="n">
        <v>0.1</v>
      </c>
      <c r="C21" t="n">
        <v>8</v>
      </c>
      <c r="D21" t="inlineStr">
        <is>
          <t>Paid sponsorship to @crew_illust et al</t>
        </is>
      </c>
    </row>
    <row r="22">
      <c r="A22" s="9" t="n"/>
      <c r="C22" s="11" t="n"/>
    </row>
    <row r="23">
      <c r="A23" t="inlineStr">
        <is>
          <t>BLENDED CAC</t>
        </is>
      </c>
      <c r="C23">
        <f>SUMPRODUCT(B18:B21,C18:C21)</f>
        <v/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2026-06-01T15:49:03Z</dcterms:modified>
</cp:coreProperties>
</file>