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  <numFmt numFmtId="181" formatCode="&quot;$&quot;#,##0;[Red](&quot;$&quot;#,##0)"/>
    <numFmt numFmtId="182" formatCode="0.0&quot; top-ups&quot;"/>
  </numFmts>
  <fonts count="39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  <font>
      <name val="Helvetica Neue"/>
      <b val="1"/>
      <color rgb="00D71921"/>
      <sz val="11"/>
    </font>
    <font>
      <name val="Helvetica Neue"/>
      <b val="1"/>
      <i val="1"/>
      <color rgb="00D71921"/>
      <sz val="11"/>
    </font>
    <font>
      <b val="1"/>
    </font>
    <font>
      <b val="1"/>
      <sz val="12"/>
    </font>
    <font>
      <b val="1"/>
      <color rgb="00FFFFFF"/>
      <sz val="12"/>
    </font>
  </fonts>
  <fills count="23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  <fill>
      <patternFill patternType="solid">
        <fgColor rgb="002A4A8A"/>
      </patternFill>
    </fill>
    <fill>
      <patternFill patternType="solid">
        <fgColor rgb="00B07A1F"/>
      </patternFill>
    </fill>
    <fill>
      <patternFill patternType="solid">
        <fgColor rgb="002D7A4F"/>
      </patternFill>
    </fill>
    <fill>
      <patternFill patternType="solid">
        <fgColor rgb="005C7CB8"/>
      </patternFill>
    </fill>
    <fill>
      <patternFill patternType="solid">
        <fgColor rgb="00D8A547"/>
      </patternFill>
    </fill>
    <fill>
      <patternFill patternType="solid">
        <fgColor rgb="005BAA82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a1a1a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4" fillId="0" borderId="0" pivotButton="0" quotePrefix="0" xfId="0"/>
    <xf numFmtId="0" fontId="13" fillId="13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center" vertical="center"/>
    </xf>
    <xf numFmtId="0" fontId="13" fillId="15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center" vertical="center" wrapText="1"/>
    </xf>
    <xf numFmtId="0" fontId="13" fillId="17" borderId="0" applyAlignment="1" pivotButton="0" quotePrefix="0" xfId="0">
      <alignment horizontal="center" vertical="center" wrapText="1"/>
    </xf>
    <xf numFmtId="0" fontId="13" fillId="18" borderId="0" applyAlignment="1" pivotButton="0" quotePrefix="0" xfId="0">
      <alignment horizontal="center" vertical="center" wrapText="1"/>
    </xf>
    <xf numFmtId="169" fontId="26" fillId="0" borderId="0" pivotButton="0" quotePrefix="0" xfId="0"/>
    <xf numFmtId="181" fontId="0" fillId="0" borderId="0" pivotButton="0" quotePrefix="0" xfId="0"/>
    <xf numFmtId="181" fontId="22" fillId="7" borderId="0" pivotButton="0" quotePrefix="0" xfId="0"/>
    <xf numFmtId="0" fontId="35" fillId="0" borderId="0" pivotButton="0" quotePrefix="0" xfId="0"/>
    <xf numFmtId="182" fontId="0" fillId="0" borderId="0" pivotButton="0" quotePrefix="0" xfId="0"/>
    <xf numFmtId="182" fontId="0" fillId="7" borderId="0" pivotButton="0" quotePrefix="0" xfId="0"/>
    <xf numFmtId="174" fontId="0" fillId="7" borderId="0" pivotButton="0" quotePrefix="0" xfId="0"/>
    <xf numFmtId="3" fontId="0" fillId="7" borderId="0" pivotButton="0" quotePrefix="0" xfId="0"/>
    <xf numFmtId="176" fontId="0" fillId="7" borderId="0" pivotButton="0" quotePrefix="0" xfId="0"/>
    <xf numFmtId="0" fontId="36" fillId="19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38" fillId="2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B21*12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inlineStr">
        <is>
          <t>$/GB</t>
        </is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0.85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1.4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8.5</v>
      </c>
      <c r="D29" s="13" t="n">
        <v>0.05</v>
      </c>
    </row>
    <row r="31">
      <c r="A31" s="9" t="inlineStr">
        <is>
          <t>BLENDED COST / GB</t>
        </is>
      </c>
      <c r="C31" s="11">
        <f>SUMPRODUCT(C27:C29,D27:D29)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  <c r="B25">
        <f>'README &amp; Assumptions'!D18</f>
        <v/>
      </c>
      <c r="C25" t="n">
        <v>0.4</v>
      </c>
      <c r="D25">
        <f>B25*C25</f>
        <v/>
      </c>
      <c r="E25">
        <f>(B25-D25)*'README &amp; Assumptions'!E18</f>
        <v/>
      </c>
      <c r="F25">
        <f>(B25-D25)*(1-'README &amp; Assumptions'!E18)</f>
        <v/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6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2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gross margin, net margin — for ONE subscriber per month. The "PER-USER" math.</t>
        </is>
      </c>
    </row>
    <row r="3">
      <c r="A3" s="39" t="inlineStr">
        <is>
          <t>Pulls prices from Tab 1 (rows 14-21), GB Consumed from Tab 2 (rows 21-27), blended wholesale from Tab 1 C31.</t>
        </is>
      </c>
    </row>
    <row r="5" ht="22" customHeight="1">
      <c r="A5" s="121" t="inlineStr">
        <is>
          <t>GROUP 1 — INPUTS</t>
        </is>
      </c>
      <c r="E5" s="122" t="inlineStr">
        <is>
          <t>GROUP 2 — eSIM MATH</t>
        </is>
      </c>
      <c r="I5" s="123" t="inlineStr">
        <is>
          <t>GROUP 3 — PROFIT MATH</t>
        </is>
      </c>
    </row>
    <row r="6" ht="38" customHeight="1">
      <c r="A6" s="124" t="inlineStr">
        <is>
          <t>Tier</t>
        </is>
      </c>
      <c r="B6" s="124" t="inlineStr">
        <is>
          <t>Monthly Revenue</t>
        </is>
      </c>
      <c r="C6" s="124" t="inlineStr">
        <is>
          <t>GB Consumed</t>
        </is>
      </c>
      <c r="D6" s="124" t="inlineStr">
        <is>
          <t>Wholesale $/GB</t>
        </is>
      </c>
      <c r="E6" s="125" t="inlineStr">
        <is>
          <t>eSIM COGS</t>
        </is>
      </c>
      <c r="F6" s="125" t="inlineStr">
        <is>
          <t>Refuel Attach %</t>
        </is>
      </c>
      <c r="G6" s="125" t="inlineStr">
        <is>
          <t>Refuel Revenue</t>
        </is>
      </c>
      <c r="H6" s="125" t="inlineStr">
        <is>
          <t>Refuel COGS</t>
        </is>
      </c>
      <c r="I6" s="126" t="inlineStr">
        <is>
          <t>Total Revenue</t>
        </is>
      </c>
      <c r="J6" s="126" t="inlineStr">
        <is>
          <t>Total COGS</t>
        </is>
      </c>
      <c r="K6" s="126" t="inlineStr">
        <is>
          <t>Gross Profit</t>
        </is>
      </c>
      <c r="L6" s="126" t="inlineStr">
        <is>
          <t>Gross Margin %</t>
        </is>
      </c>
      <c r="M6" s="126" t="inlineStr">
        <is>
          <t>Net Margin (after OPEX)</t>
        </is>
      </c>
    </row>
    <row r="7">
      <c r="A7" s="90" t="inlineStr">
        <is>
          <t>Economy (PAYG realistic — 2.5×/mo)</t>
        </is>
      </c>
      <c r="B7" s="46">
        <f>'README &amp; Assumptions'!B14*2.5</f>
        <v/>
      </c>
      <c r="C7" s="49">
        <f>'User Behavior'!D21*2.5</f>
        <v/>
      </c>
      <c r="D7" s="46">
        <f>'README &amp; Assumptions'!C31</f>
        <v/>
      </c>
      <c r="E7" s="54">
        <f>C7*D7</f>
        <v/>
      </c>
      <c r="F7" s="81" t="n">
        <v>0</v>
      </c>
      <c r="G7" s="54">
        <f>F7*'README &amp; Assumptions'!B21</f>
        <v/>
      </c>
      <c r="H7" s="54">
        <f>F7*1*D7</f>
        <v/>
      </c>
      <c r="I7" s="54">
        <f>B7+G7</f>
        <v/>
      </c>
      <c r="J7" s="54">
        <f>E7+H7</f>
        <v/>
      </c>
      <c r="K7" s="54">
        <f>I7-J7</f>
        <v/>
      </c>
      <c r="L7" s="26">
        <f>IFERROR(K7/I7,0)</f>
        <v/>
      </c>
      <c r="M7" s="26">
        <f>IFERROR((K7-'README &amp; Assumptions'!B53)/I7,0)</f>
        <v/>
      </c>
    </row>
    <row r="8">
      <c r="A8" s="90" t="inlineStr">
        <is>
          <t>Roster Bundle</t>
        </is>
      </c>
      <c r="B8" s="46">
        <f>'README &amp; Assumptions'!B15</f>
        <v/>
      </c>
      <c r="C8" s="49">
        <f>'User Behavior'!D22</f>
        <v/>
      </c>
      <c r="D8" s="46">
        <f>'README &amp; Assumptions'!C31</f>
        <v/>
      </c>
      <c r="E8" s="54">
        <f>C8*D8</f>
        <v/>
      </c>
      <c r="F8" s="81" t="n">
        <v>0.1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Premium Economy</t>
        </is>
      </c>
      <c r="B9" s="46">
        <f>'README &amp; Assumptions'!B16</f>
        <v/>
      </c>
      <c r="C9" s="49">
        <f>'User Behavior'!D23</f>
        <v/>
      </c>
      <c r="D9" s="46">
        <f>'README &amp; Assumptions'!C31</f>
        <v/>
      </c>
      <c r="E9" s="54">
        <f>C9*D9</f>
        <v/>
      </c>
      <c r="F9" s="81" t="n">
        <v>0.2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3" t="inlineStr">
        <is>
          <t>Business</t>
        </is>
      </c>
      <c r="B10" s="101">
        <f>'README &amp; Assumptions'!B17</f>
        <v/>
      </c>
      <c r="C10" s="102">
        <f>'User Behavior'!D24</f>
        <v/>
      </c>
      <c r="D10" s="101">
        <f>'README &amp; Assumptions'!C31</f>
        <v/>
      </c>
      <c r="E10" s="59">
        <f>C10*D10</f>
        <v/>
      </c>
      <c r="F10" s="103" t="n">
        <v>0.25</v>
      </c>
      <c r="G10" s="59">
        <f>F10*'README &amp; Assumptions'!B21</f>
        <v/>
      </c>
      <c r="H10" s="59">
        <f>F10*1*D10</f>
        <v/>
      </c>
      <c r="I10" s="59">
        <f>B10+G10</f>
        <v/>
      </c>
      <c r="J10" s="59">
        <f>E10+H10</f>
        <v/>
      </c>
      <c r="K10" s="59">
        <f>I10-J10</f>
        <v/>
      </c>
      <c r="L10" s="104">
        <f>IFERROR(K10/I10,0)</f>
        <v/>
      </c>
      <c r="M10" s="104">
        <f>IFERROR((K10-'README &amp; Assumptions'!B53)/I10,0)</f>
        <v/>
      </c>
    </row>
    <row r="11">
      <c r="A11" s="90" t="inlineStr">
        <is>
          <t>First</t>
        </is>
      </c>
      <c r="B11" s="46">
        <f>'README &amp; Assumptions'!B18</f>
        <v/>
      </c>
      <c r="C11" s="49">
        <f>'User Behavior'!D25</f>
        <v/>
      </c>
      <c r="D11" s="46">
        <f>'README &amp; Assumptions'!C31</f>
        <v/>
      </c>
      <c r="E11" s="54">
        <f>C11*D11</f>
        <v/>
      </c>
      <c r="F11" s="81" t="n">
        <v>0.4</v>
      </c>
      <c r="G11" s="54">
        <f>F11*'README &amp; Assumptions'!B21</f>
        <v/>
      </c>
      <c r="H11" s="54">
        <f>F11*1*D11</f>
        <v/>
      </c>
      <c r="I11" s="54">
        <f>B11+G11</f>
        <v/>
      </c>
      <c r="J11" s="54">
        <f>E11+H11</f>
        <v/>
      </c>
      <c r="K11" s="54">
        <f>I11-J11</f>
        <v/>
      </c>
      <c r="L11" s="26">
        <f>IFERROR(K11/I11,0)</f>
        <v/>
      </c>
      <c r="M11" s="26">
        <f>IFERROR((K11-'README &amp; Assumptions'!B53)/I11,0)</f>
        <v/>
      </c>
    </row>
    <row r="12">
      <c r="A12" s="90" t="inlineStr">
        <is>
          <t>First Suite</t>
        </is>
      </c>
      <c r="B12" s="46">
        <f>'README &amp; Assumptions'!B19</f>
        <v/>
      </c>
      <c r="C12" s="49">
        <f>'User Behavior'!D26</f>
        <v/>
      </c>
      <c r="D12" s="46">
        <f>'README &amp; Assumptions'!C31</f>
        <v/>
      </c>
      <c r="E12" s="54">
        <f>C12*D12</f>
        <v/>
      </c>
      <c r="F12" s="81" t="n">
        <v>0.2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Cockpit (annual)</t>
        </is>
      </c>
      <c r="B13" s="46">
        <f>'README &amp; Assumptions'!B20</f>
        <v/>
      </c>
      <c r="C13" s="49">
        <f>'User Behavior'!D27</f>
        <v/>
      </c>
      <c r="D13" s="46">
        <f>'README &amp; Assumptions'!C31</f>
        <v/>
      </c>
      <c r="E13" s="54">
        <f>C13*D13</f>
        <v/>
      </c>
      <c r="F13" s="81" t="n">
        <v>0.15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5">
      <c r="A15" s="39" t="inlineStr">
        <is>
          <t>⚠ Cockpit shows MONTHLY equivalent ($24.92), not annual prepay ($299). See Cockpit Logic tab.</t>
        </is>
      </c>
    </row>
    <row r="17">
      <c r="A17" s="94" t="inlineStr">
        <is>
          <t>HOW TO READ THIS TAB</t>
        </is>
      </c>
    </row>
    <row r="18">
      <c r="A18" s="95" t="inlineStr">
        <is>
          <t>Monthly Revenue (B)</t>
        </is>
      </c>
      <c r="B18" s="90" t="inlineStr">
        <is>
          <t>What user pays us per month</t>
        </is>
      </c>
    </row>
    <row r="19">
      <c r="A19" s="95" t="inlineStr">
        <is>
          <t>GB Consumed (C)</t>
        </is>
      </c>
      <c r="B19" s="90" t="inlineStr">
        <is>
          <t>Actual GB used — per-tier rate from Tab 2</t>
        </is>
      </c>
    </row>
    <row r="20">
      <c r="A20" s="95" t="inlineStr">
        <is>
          <t>Wholesale $/GB (D)</t>
        </is>
      </c>
      <c r="B20" s="90" t="inlineStr">
        <is>
          <t>Blended supplier rate ($1.34 at 75/20/5)</t>
        </is>
      </c>
    </row>
    <row r="21">
      <c r="A21" s="95" t="inlineStr">
        <is>
          <t>eSIM COGS (E)</t>
        </is>
      </c>
      <c r="B21" s="90" t="inlineStr">
        <is>
          <t>C × D = what we owe supplier</t>
        </is>
      </c>
    </row>
    <row r="22">
      <c r="A22" s="95" t="inlineStr">
        <is>
          <t>Refuel Attach % (F)</t>
        </is>
      </c>
      <c r="B22" s="90" t="inlineStr">
        <is>
          <t>% of users who buy a top-up</t>
        </is>
      </c>
    </row>
    <row r="23">
      <c r="A23" s="95" t="inlineStr">
        <is>
          <t>Refuel Revenue / COGS (G/H)</t>
        </is>
      </c>
      <c r="B23" s="90" t="inlineStr">
        <is>
          <t>Top-up revenue + supplier cost</t>
        </is>
      </c>
    </row>
    <row r="24">
      <c r="A24" s="95" t="inlineStr">
        <is>
          <t>Total Revenue / COGS (I/J)</t>
        </is>
      </c>
      <c r="B24" s="90" t="inlineStr">
        <is>
          <t>Base + refuel combined</t>
        </is>
      </c>
    </row>
    <row r="25">
      <c r="A25" s="95" t="inlineStr">
        <is>
          <t>Gross Profit / Margin (K/L)</t>
        </is>
      </c>
      <c r="B25" s="90" t="inlineStr">
        <is>
          <t>Revenue − COGS (before opex)</t>
        </is>
      </c>
    </row>
    <row r="26">
      <c r="A26" s="95" t="inlineStr">
        <is>
          <t>Net Margin (M)</t>
        </is>
      </c>
      <c r="B26" s="90" t="inlineStr">
        <is>
          <t>After $1.80/user OPEX</t>
        </is>
      </c>
    </row>
    <row r="28">
      <c r="A28" s="94" t="inlineStr">
        <is>
          <t>SOURCES &amp; CONFIDENCE</t>
        </is>
      </c>
    </row>
    <row r="29">
      <c r="A29" s="41" t="inlineStr">
        <is>
          <t>Component</t>
        </is>
      </c>
      <c r="B29" s="41" t="inlineStr">
        <is>
          <t>Source</t>
        </is>
      </c>
      <c r="C29" s="41" t="inlineStr">
        <is>
          <t>Confidence</t>
        </is>
      </c>
    </row>
    <row r="30">
      <c r="A30" s="90" t="inlineStr">
        <is>
          <t>Retail prices</t>
        </is>
      </c>
      <c r="B30" s="90" t="inlineStr">
        <is>
          <t>Locked decisions 2026-06-01</t>
        </is>
      </c>
      <c r="C30" s="90" t="inlineStr">
        <is>
          <t>HIGH</t>
        </is>
      </c>
    </row>
    <row r="31">
      <c r="A31" s="90" t="inlineStr">
        <is>
          <t>GB Consumed</t>
        </is>
      </c>
      <c r="B31" s="90" t="inlineStr">
        <is>
          <t>Per-tier rates from Tab 2</t>
        </is>
      </c>
      <c r="C31" s="90" t="inlineStr">
        <is>
          <t>MEDIUM</t>
        </is>
      </c>
    </row>
    <row r="32">
      <c r="A32" s="90" t="inlineStr">
        <is>
          <t>Wholesale $/GB</t>
        </is>
      </c>
      <c r="B32" s="90" t="inlineStr">
        <is>
          <t>Real Samurai × 75/20/5 mix</t>
        </is>
      </c>
      <c r="C32" s="90" t="inlineStr">
        <is>
          <t>MEDIUM</t>
        </is>
      </c>
    </row>
    <row r="33">
      <c r="A33" s="90" t="inlineStr">
        <is>
          <t>Refuel attach %</t>
        </is>
      </c>
      <c r="B33" s="90" t="inlineStr">
        <is>
          <t>MY ESTIMATE per tier</t>
        </is>
      </c>
      <c r="C33" s="90" t="inlineStr">
        <is>
          <t>LOW</t>
        </is>
      </c>
    </row>
    <row r="34">
      <c r="A34" s="90" t="inlineStr">
        <is>
          <t>OPEX $1.80/user</t>
        </is>
      </c>
      <c r="B34" s="90" t="inlineStr">
        <is>
          <t>Tab 1 Section 5</t>
        </is>
      </c>
      <c r="C34" s="90" t="inlineStr">
        <is>
          <t>MEDIUM</t>
        </is>
      </c>
    </row>
    <row r="36">
      <c r="A36" s="94" t="inlineStr">
        <is>
          <t>VALIDATION QUEUE</t>
        </is>
      </c>
    </row>
    <row r="37">
      <c r="A37" s="39" t="inlineStr">
        <is>
          <t>• Per-tier refuel attach rates — validate via app analytics post-launch</t>
        </is>
      </c>
    </row>
    <row r="38">
      <c r="A38" s="39" t="inlineStr">
        <is>
          <t>• Wholesale country mix 75/20/5 — Akito to validate via crew rosters</t>
        </is>
      </c>
    </row>
    <row r="39">
      <c r="A39" s="39" t="inlineStr">
        <is>
          <t>• Per-tier consumption rates inherited from Tab 2</t>
        </is>
      </c>
    </row>
    <row r="40">
      <c r="A40" s="39" t="inlineStr">
        <is>
          <t>• Sensitivity test: what if Premium consumption is 50% instead of 40%?</t>
        </is>
      </c>
    </row>
    <row r="42">
      <c r="A42" s="94" t="inlineStr">
        <is>
          <t>ECONOMY VARIANTS — what if a PAYG user buys different # of top-ups per month?</t>
        </is>
      </c>
    </row>
    <row r="43">
      <c r="A43" s="39" t="inlineStr">
        <is>
          <t>Same product ($4.99 per 1 GB), different user behavior. Light = 1 top-up (tried once). Average = 2.5 top-ups (the realistic Economy user — used in Row 7 above). Heavy = 4 top-ups (many layovers).</t>
        </is>
      </c>
    </row>
    <row r="45">
      <c r="A45" s="41" t="inlineStr">
        <is>
          <t>Scenario</t>
        </is>
      </c>
      <c r="B45" s="41" t="inlineStr">
        <is>
          <t># Top-ups/mo</t>
        </is>
      </c>
      <c r="C45" s="41" t="inlineStr">
        <is>
          <t>Revenue</t>
        </is>
      </c>
      <c r="D45" s="41" t="inlineStr">
        <is>
          <t>GB Consumed</t>
        </is>
      </c>
      <c r="E45" s="41" t="inlineStr">
        <is>
          <t>COGS @ $1.34/GB</t>
        </is>
      </c>
      <c r="F45" s="41" t="inlineStr">
        <is>
          <t>Gross Profit</t>
        </is>
      </c>
      <c r="G45" s="41" t="inlineStr">
        <is>
          <t>Gross Margin</t>
        </is>
      </c>
      <c r="H45" s="41" t="inlineStr">
        <is>
          <t>Notes</t>
        </is>
      </c>
    </row>
    <row r="46">
      <c r="A46" s="90" t="inlineStr">
        <is>
          <t>Trial (one-and-done)</t>
        </is>
      </c>
      <c r="B46" s="131" t="n">
        <v>1</v>
      </c>
      <c r="C46" s="54" t="n">
        <v>4.99</v>
      </c>
      <c r="D46" s="82" t="n">
        <v>1</v>
      </c>
      <c r="E46" s="54" t="n">
        <v>1.34</v>
      </c>
      <c r="F46" s="54" t="n">
        <v>3.65</v>
      </c>
      <c r="G46" s="26" t="n">
        <v>0.731</v>
      </c>
      <c r="H46" s="39" t="inlineStr">
        <is>
          <t>User buys once, never returns. Pure single-tx profit.</t>
        </is>
      </c>
    </row>
    <row r="47">
      <c r="A47" s="93" t="inlineStr">
        <is>
          <t>Realistic Economy (used in Row 7)</t>
        </is>
      </c>
      <c r="B47" s="132" t="n">
        <v>2.5</v>
      </c>
      <c r="C47" s="59" t="n">
        <v>12.48</v>
      </c>
      <c r="D47" s="133" t="n">
        <v>2.5</v>
      </c>
      <c r="E47" s="59" t="n">
        <v>3.35</v>
      </c>
      <c r="F47" s="59" t="n">
        <v>9.130000000000001</v>
      </c>
      <c r="G47" s="104" t="n">
        <v>0.731</v>
      </c>
      <c r="H47" s="77" t="inlineStr">
        <is>
          <t>Typical PAYG crew member, 8-12 layovers, buys when needed.</t>
        </is>
      </c>
    </row>
    <row r="48">
      <c r="A48" s="90" t="inlineStr">
        <is>
          <t>Heavy Economy</t>
        </is>
      </c>
      <c r="B48" s="131" t="n">
        <v>4</v>
      </c>
      <c r="C48" s="54" t="n">
        <v>19.96</v>
      </c>
      <c r="D48" s="82" t="n">
        <v>4</v>
      </c>
      <c r="E48" s="54" t="n">
        <v>5.36</v>
      </c>
      <c r="F48" s="54" t="n">
        <v>14.6</v>
      </c>
      <c r="G48" s="26" t="n">
        <v>0.731</v>
      </c>
      <c r="H48" s="39" t="inlineStr">
        <is>
          <t>High-frequency Economy user. Candidate to upsell to subscription.</t>
        </is>
      </c>
    </row>
    <row r="50">
      <c r="A50" s="92" t="inlineStr">
        <is>
          <t>ℹ Insight: Margin stays at 73% regardless of usage. But absolute profit scales linearly with frequency. Goal: get trial users to become realistic users (2.5×). The Heavy column shows our upsell ceiling before they should switch to subscription.</t>
        </is>
      </c>
    </row>
  </sheetData>
  <mergeCells count="23">
    <mergeCell ref="A5:D5"/>
    <mergeCell ref="B23:M23"/>
    <mergeCell ref="A43:M43"/>
    <mergeCell ref="A38:M38"/>
    <mergeCell ref="B19:M19"/>
    <mergeCell ref="A40:M40"/>
    <mergeCell ref="A39:M39"/>
    <mergeCell ref="A15:M15"/>
    <mergeCell ref="E5:H5"/>
    <mergeCell ref="B24:M24"/>
    <mergeCell ref="A1:M1"/>
    <mergeCell ref="B20:M20"/>
    <mergeCell ref="B26:M26"/>
    <mergeCell ref="I5:M5"/>
    <mergeCell ref="B25:M25"/>
    <mergeCell ref="A37:M37"/>
    <mergeCell ref="A50:M50"/>
    <mergeCell ref="B22:M22"/>
    <mergeCell ref="A3:M3"/>
    <mergeCell ref="B18:M18"/>
    <mergeCell ref="B21:M21"/>
    <mergeCell ref="A2:M2"/>
    <mergeCell ref="A42:M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1.34</v>
      </c>
      <c r="C6" t="inlineStr">
        <is>
          <t>Current Samurai actual blended (75/20/5 mix). Tier-A $0.85, Tier-B $1.40, Tier-C $8.50.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Behavior'!C13</f>
        <v/>
      </c>
    </row>
    <row r="13">
      <c r="A13" t="inlineStr">
        <is>
          <t>% Refuel attach (weighted)</t>
        </is>
      </c>
      <c r="B13" s="45">
        <f>'User Behavior'!D14</f>
        <v/>
      </c>
    </row>
    <row r="14">
      <c r="A14" t="inlineStr">
        <is>
          <t>Refuel price (per 1GB top-up)</t>
        </is>
      </c>
      <c r="B14" s="46">
        <f>'README &amp; Assumptions'!B21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First Suite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4">
      <c r="A24" t="inlineStr">
        <is>
          <t>Cockpit</t>
        </is>
      </c>
      <c r="B24">
        <f>'README &amp; Assumptions'!D20</f>
        <v/>
      </c>
      <c r="C24">
        <f>B24*$B$12</f>
        <v/>
      </c>
      <c r="D24">
        <f>C24*$B$9</f>
        <v/>
      </c>
      <c r="E24">
        <f>$B$13*$B$14</f>
        <v/>
      </c>
      <c r="F24">
        <f>$B$13*1*$B$9</f>
        <v/>
      </c>
      <c r="G24">
        <f>D24+F24-E24</f>
        <v/>
      </c>
      <c r="H24">
        <f>G24</f>
        <v/>
      </c>
      <c r="I24">
        <f>G24/0.7</f>
        <v/>
      </c>
      <c r="J24">
        <f>G24/0.5</f>
        <v/>
      </c>
      <c r="K24">
        <f>G24/0.3</f>
        <v/>
      </c>
      <c r="L24">
        <f>'README &amp; Assumptions'!B20</f>
        <v/>
      </c>
      <c r="M24">
        <f>IFERROR((L24-G24)/L24,0)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First Suite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4">
      <c r="A34" t="inlineStr">
        <is>
          <t>Cockpit</t>
        </is>
      </c>
      <c r="B34">
        <f>'README &amp; Assumptions'!B20</f>
        <v/>
      </c>
      <c r="C34">
        <f>C24*$B$6+$B$13*1*$B$6-$B$13*$B$14</f>
        <v/>
      </c>
      <c r="D34">
        <f>C24*$B$7+$B$13*1*$B$7-$B$13*$B$14</f>
        <v/>
      </c>
      <c r="E34">
        <f>C34-D34</f>
        <v/>
      </c>
      <c r="F34">
        <f>E34*10000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wholesale from $1.34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1.34</v>
      </c>
      <c r="C59" s="39" t="inlineStr">
        <is>
          <t>75/20/5 Emirates-realistic mix (updated 2026-06-01)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1.34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$1.34 blended wholesale: weighted across 75/20/5 Tier-A/B/C mix (updated 2026-06-01, was $1.20 at old 60/25/15).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1.34</v>
      </c>
      <c r="C20" s="39" t="inlineStr">
        <is>
          <t>Same blended rate (75/20/5 mix, updated 2026-06-01)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1.34</v>
      </c>
      <c r="C19" s="39" t="inlineStr">
        <is>
          <t>Same blended rate (75/20/5 mix, updated 2026-06-01)</t>
        </is>
      </c>
    </row>
    <row r="20">
      <c r="A20" s="48" t="inlineStr">
        <is>
          <t>Wholesale COGS</t>
        </is>
      </c>
      <c r="B20" s="54">
        <f>B18*B19</f>
        <v/>
      </c>
      <c r="C20" s="39" t="inlineStr">
        <is>
          <t>13.6 × $1.34</t>
        </is>
      </c>
    </row>
    <row r="21">
      <c r="A21" s="48" t="inlineStr">
        <is>
          <t>GB Carryover bank</t>
        </is>
      </c>
      <c r="B21" s="82">
        <f>(25-B18)*1.0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B22*4.99</f>
        <v/>
      </c>
    </row>
    <row r="24">
      <c r="A24" s="48" t="inlineStr">
        <is>
          <t>Refuel COGS</t>
        </is>
      </c>
      <c r="B24" s="54">
        <f>B22*B19</f>
        <v/>
      </c>
    </row>
    <row r="25">
      <c r="A25" s="48" t="inlineStr">
        <is>
          <t>TOTAL profit per user / mo</t>
        </is>
      </c>
      <c r="B25" s="83">
        <f>B17-B20+B23-B24</f>
        <v/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>
        <f>B25/(B17+B23)</f>
        <v/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696.78</v>
      </c>
      <c r="D31" s="86" t="n">
        <v>8361.360000000001</v>
      </c>
    </row>
    <row r="32">
      <c r="A32" s="71" t="n">
        <v>5000</v>
      </c>
      <c r="B32" s="71" t="n">
        <v>150</v>
      </c>
      <c r="C32" s="86" t="n">
        <v>3483.9</v>
      </c>
      <c r="D32" s="86" t="n">
        <v>41806.8</v>
      </c>
    </row>
    <row r="33">
      <c r="A33" s="71" t="n">
        <v>10000</v>
      </c>
      <c r="B33" s="71" t="n">
        <v>300</v>
      </c>
      <c r="C33" s="86" t="n">
        <v>6967.799999999999</v>
      </c>
      <c r="D33" s="86" t="n">
        <v>83613.59999999999</v>
      </c>
    </row>
    <row r="34">
      <c r="A34" s="71" t="n">
        <v>50000</v>
      </c>
      <c r="B34" s="71" t="n">
        <v>1500</v>
      </c>
      <c r="C34" s="86" t="n">
        <v>34839</v>
      </c>
      <c r="D34" s="86" t="n">
        <v>418068</v>
      </c>
    </row>
    <row r="35">
      <c r="A35" s="71" t="n">
        <v>100000</v>
      </c>
      <c r="B35" s="71" t="n">
        <v>3000</v>
      </c>
      <c r="C35" s="87" t="n">
        <v>69678</v>
      </c>
      <c r="D35" s="87" t="n">
        <v>836136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1.34</v>
      </c>
    </row>
    <row r="21">
      <c r="A21" s="48" t="inlineStr">
        <is>
          <t>Wholesale COGS</t>
        </is>
      </c>
      <c r="B21" s="54">
        <f>B19*B20</f>
        <v/>
      </c>
      <c r="C21" s="39" t="inlineStr">
        <is>
          <t>13.2 × $1.34</t>
        </is>
      </c>
    </row>
    <row r="22">
      <c r="A22" s="48" t="inlineStr">
        <is>
          <t>GB Carryover bank</t>
        </is>
      </c>
      <c r="B22" s="82">
        <f>(40-B19)*1.0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B23*4.99</f>
        <v/>
      </c>
    </row>
    <row r="25">
      <c r="A25" s="48" t="inlineStr">
        <is>
          <t>Refuel COGS</t>
        </is>
      </c>
      <c r="B25" s="54">
        <f>B23*B20</f>
        <v/>
      </c>
    </row>
    <row r="26">
      <c r="A26" s="48" t="inlineStr">
        <is>
          <t>TOTAL profit per user / mo</t>
        </is>
      </c>
      <c r="B26" s="83">
        <f>B18-B21+B24-B25</f>
        <v/>
      </c>
    </row>
    <row r="27">
      <c r="A27" s="48" t="inlineStr">
        <is>
          <t>TOTAL margin</t>
        </is>
      </c>
      <c r="B27" s="84">
        <f>B26/(B18+B24)</f>
        <v/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660.6400000000001</v>
      </c>
      <c r="D32" s="86" t="n">
        <v>7927.680000000001</v>
      </c>
    </row>
    <row r="33">
      <c r="A33" s="71" t="n">
        <v>5000</v>
      </c>
      <c r="B33" s="71" t="n">
        <v>100</v>
      </c>
      <c r="C33" s="86" t="n">
        <v>3303.2</v>
      </c>
      <c r="D33" s="86" t="n">
        <v>39638.4</v>
      </c>
    </row>
    <row r="34">
      <c r="A34" s="71" t="n">
        <v>10000</v>
      </c>
      <c r="B34" s="71" t="n">
        <v>200</v>
      </c>
      <c r="C34" s="86" t="n">
        <v>6606.400000000001</v>
      </c>
      <c r="D34" s="86" t="n">
        <v>79276.8</v>
      </c>
    </row>
    <row r="35">
      <c r="A35" s="71" t="n">
        <v>50000</v>
      </c>
      <c r="B35" s="71" t="n">
        <v>1000</v>
      </c>
      <c r="C35" s="86" t="n">
        <v>33032</v>
      </c>
      <c r="D35" s="86" t="n">
        <v>396384</v>
      </c>
    </row>
    <row r="36">
      <c r="A36" s="71" t="n">
        <v>100000</v>
      </c>
      <c r="B36" s="71" t="n">
        <v>2000</v>
      </c>
      <c r="C36" s="87" t="n">
        <v>66064</v>
      </c>
      <c r="D36" s="87" t="n">
        <v>792768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1.34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$1.34 blended)</t>
        </is>
      </c>
      <c r="B17" s="54" t="n">
        <v>1.34</v>
      </c>
      <c r="C17" s="39" t="inlineStr">
        <is>
          <t>Blended rate (75/20/5 mix, updated 2026-06-01)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16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13" t="inlineStr">
        <is>
          <t>TOTAL fixed monthly burn (early)</t>
        </is>
      </c>
      <c r="B26" s="113" t="inlineStr"/>
      <c r="C26" s="117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9" ht="26" customHeight="1">
      <c r="A29" s="107" t="inlineStr">
        <is>
          <t>Section 3 — Variable scaling costs (marketing &amp; growth)</t>
        </is>
      </c>
    </row>
    <row r="30" ht="30" customHeight="1">
      <c r="A30" s="108" t="inlineStr">
        <is>
          <t>Cost line</t>
        </is>
      </c>
      <c r="B30" s="108" t="inlineStr">
        <is>
          <t>Pre-launch</t>
        </is>
      </c>
      <c r="C30" s="108" t="inlineStr">
        <is>
          <t>Early</t>
        </is>
      </c>
      <c r="D30" s="108" t="inlineStr">
        <is>
          <t>Growth</t>
        </is>
      </c>
      <c r="E30" s="108" t="inlineStr">
        <is>
          <t>Notes</t>
        </is>
      </c>
    </row>
    <row r="31">
      <c r="A31" s="109" t="inlineStr">
        <is>
          <t>Crew WhatsApp acquisition (Akito's network)</t>
        </is>
      </c>
      <c r="B31" s="116" t="n">
        <v>0</v>
      </c>
      <c r="C31" s="116" t="n">
        <v>0</v>
      </c>
      <c r="D31" s="116" t="n">
        <v>0</v>
      </c>
      <c r="E31" s="111" t="inlineStr">
        <is>
          <t>Free organic — the wedge</t>
        </is>
      </c>
    </row>
    <row r="32">
      <c r="A32" s="109" t="inlineStr">
        <is>
          <t>Referral incentives ($5 credit per referral)</t>
        </is>
      </c>
      <c r="B32" s="116" t="n">
        <v>0</v>
      </c>
      <c r="C32" s="116" t="n">
        <v>500</v>
      </c>
      <c r="D32" s="116" t="n">
        <v>2000</v>
      </c>
      <c r="E32" s="111" t="inlineStr">
        <is>
          <t>Scale with user growth</t>
        </is>
      </c>
    </row>
    <row r="33">
      <c r="A33" s="109" t="inlineStr">
        <is>
          <t>Paid social (Instagram crew creators)</t>
        </is>
      </c>
      <c r="B33" s="116" t="n">
        <v>0</v>
      </c>
      <c r="C33" s="116" t="n">
        <v>500</v>
      </c>
      <c r="D33" s="116" t="n">
        <v>5000</v>
      </c>
      <c r="E33" s="111" t="inlineStr">
        <is>
          <t>Phase 2 onwards</t>
        </is>
      </c>
    </row>
    <row r="34">
      <c r="A34" s="109" t="inlineStr">
        <is>
          <t>Content marketing (Akito blog/JP content)</t>
        </is>
      </c>
      <c r="B34" s="116" t="n">
        <v>0</v>
      </c>
      <c r="C34" s="116" t="n">
        <v>0</v>
      </c>
      <c r="D34" s="116" t="n">
        <v>0</v>
      </c>
      <c r="E34" s="111" t="inlineStr">
        <is>
          <t>Time-based, no $ cost</t>
        </is>
      </c>
    </row>
    <row r="35">
      <c r="A35" s="109" t="inlineStr">
        <is>
          <t>Beta crew gifts/swag</t>
        </is>
      </c>
      <c r="B35" s="116" t="n">
        <v>200</v>
      </c>
      <c r="C35" s="116" t="n">
        <v>0</v>
      </c>
      <c r="D35" s="116" t="n">
        <v>0</v>
      </c>
      <c r="E35" s="111" t="inlineStr">
        <is>
          <t>One-time ($200) — placed in pre-launch column</t>
        </is>
      </c>
    </row>
    <row r="36">
      <c r="A36" s="109" t="inlineStr">
        <is>
          <t>Crew interview compensation</t>
        </is>
      </c>
      <c r="B36" s="116" t="n">
        <v>0</v>
      </c>
      <c r="C36" s="116" t="n">
        <v>0</v>
      </c>
      <c r="D36" s="116" t="n">
        <v>0</v>
      </c>
      <c r="E36" s="111" t="inlineStr">
        <is>
          <t>$50 × 20-30 crew, one-time — see Section 4</t>
        </is>
      </c>
    </row>
    <row r="37">
      <c r="A37" s="109" t="inlineStr">
        <is>
          <t>Conferences / events</t>
        </is>
      </c>
      <c r="B37" s="116" t="n">
        <v>0</v>
      </c>
      <c r="C37" s="116" t="n">
        <v>0</v>
      </c>
      <c r="D37" s="116" t="n">
        <v>3000</v>
      </c>
      <c r="E37" s="111" t="inlineStr">
        <is>
          <t>Year 2+ when we have product</t>
        </is>
      </c>
    </row>
    <row r="38">
      <c r="A38" s="113" t="inlineStr">
        <is>
          <t>TOTAL marketing (early stage)</t>
        </is>
      </c>
      <c r="B38" s="113" t="inlineStr"/>
      <c r="C38" s="117">
        <f>SUM(C31:C37)</f>
        <v/>
      </c>
      <c r="D38" s="113" t="inlineStr"/>
      <c r="E38" s="115" t="inlineStr">
        <is>
          <t>(sum) — quoted $1,000</t>
        </is>
      </c>
    </row>
    <row r="39">
      <c r="A39" s="113" t="inlineStr">
        <is>
          <t>TOTAL marketing (growth stage)</t>
        </is>
      </c>
      <c r="B39" s="113" t="inlineStr"/>
      <c r="C39" s="113" t="inlineStr"/>
      <c r="D39" s="117">
        <f>SUM(D31:D37)</f>
        <v/>
      </c>
      <c r="E39" s="115" t="inlineStr">
        <is>
          <t>(sum) — quoted $10,000</t>
        </is>
      </c>
    </row>
    <row r="41" ht="26" customHeight="1">
      <c r="A41" s="107" t="inlineStr">
        <is>
          <t>Section 4 — One-time costs</t>
        </is>
      </c>
    </row>
    <row r="42" ht="30" customHeight="1">
      <c r="A42" s="108" t="inlineStr">
        <is>
          <t>Cost</t>
        </is>
      </c>
      <c r="B42" s="108" t="inlineStr">
        <is>
          <t>Amount</t>
        </is>
      </c>
      <c r="C42" s="108" t="inlineStr">
        <is>
          <t>When</t>
        </is>
      </c>
      <c r="D42" s="108" t="inlineStr"/>
      <c r="E42" s="108" t="inlineStr"/>
    </row>
    <row r="43">
      <c r="A43" s="109" t="inlineStr">
        <is>
          <t>Delaware LLC filing</t>
        </is>
      </c>
      <c r="B43" s="116" t="n">
        <v>90</v>
      </c>
      <c r="C43" s="111" t="inlineStr">
        <is>
          <t>This week</t>
        </is>
      </c>
      <c r="D43" s="109" t="inlineStr"/>
      <c r="E43" s="109" t="inlineStr"/>
    </row>
    <row r="44">
      <c r="A44" s="109" t="inlineStr">
        <is>
          <t>Trademark Class 35 search</t>
        </is>
      </c>
      <c r="B44" s="116" t="n">
        <v>1500</v>
      </c>
      <c r="C44" s="111" t="inlineStr">
        <is>
          <t>Before public launch</t>
        </is>
      </c>
      <c r="D44" s="109" t="inlineStr"/>
      <c r="E44" s="109" t="inlineStr"/>
    </row>
    <row r="45">
      <c r="A45" s="109" t="inlineStr">
        <is>
          <t>Trademark Class 9/38 filing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moonlight.ventures domain (5 years)</t>
        </is>
      </c>
      <c r="B46" s="116" t="n">
        <v>125</v>
      </c>
      <c r="C46" s="111" t="inlineStr">
        <is>
          <t>This week</t>
        </is>
      </c>
      <c r="D46" s="109" t="inlineStr"/>
      <c r="E46" s="109" t="inlineStr"/>
    </row>
    <row r="47">
      <c r="A47" s="109" t="inlineStr">
        <is>
          <t>Initial Apple Developer enrollment</t>
        </is>
      </c>
      <c r="B47" s="116" t="n">
        <v>99</v>
      </c>
      <c r="C47" s="111" t="inlineStr">
        <is>
          <t>LLC formation prereq</t>
        </is>
      </c>
      <c r="D47" s="109" t="inlineStr"/>
      <c r="E47" s="109" t="inlineStr"/>
    </row>
    <row r="48">
      <c r="A48" s="109" t="inlineStr">
        <is>
          <t>Mercury bank setup</t>
        </is>
      </c>
      <c r="B48" s="116" t="n">
        <v>0</v>
      </c>
      <c r="C48" s="111" t="inlineStr">
        <is>
          <t>Free</t>
        </is>
      </c>
      <c r="D48" s="109" t="inlineStr"/>
      <c r="E48" s="109" t="inlineStr"/>
    </row>
    <row r="49">
      <c r="A49" s="109" t="inlineStr">
        <is>
          <t>Initial Samurai onboarding fees</t>
        </is>
      </c>
      <c r="B49" s="116" t="n">
        <v>0</v>
      </c>
      <c r="C49" s="111" t="inlineStr">
        <is>
          <t>None</t>
        </is>
      </c>
      <c r="D49" s="109" t="inlineStr"/>
      <c r="E49" s="109" t="inlineStr"/>
    </row>
    <row r="50">
      <c r="A50" s="113" t="inlineStr">
        <is>
          <t>TOTAL one-time</t>
        </is>
      </c>
      <c r="B50" s="117">
        <f>SUM(B43:B49)</f>
        <v/>
      </c>
      <c r="C50" s="115" t="inlineStr">
        <is>
          <t>(sum) — quoted $3,314</t>
        </is>
      </c>
      <c r="D50" s="113" t="inlineStr"/>
      <c r="E50" s="113" t="inlineStr"/>
    </row>
    <row r="52" ht="26" customHeight="1">
      <c r="A52" s="107" t="inlineStr">
        <is>
          <t>Section 5 — Validation queue</t>
        </is>
      </c>
    </row>
    <row r="53" ht="30" customHeight="1">
      <c r="A53" s="108" t="inlineStr">
        <is>
          <t>Open validation item</t>
        </is>
      </c>
      <c r="B53" s="118" t="n"/>
      <c r="C53" s="118" t="n"/>
      <c r="D53" s="118" t="n"/>
      <c r="E53" s="119" t="n"/>
    </row>
    <row r="54">
      <c r="A54" s="112" t="inlineStr">
        <is>
          <t>☐  Validate Stripe payment processing actual rate post-launch</t>
        </is>
      </c>
      <c r="B54" s="118" t="n"/>
      <c r="C54" s="118" t="n"/>
      <c r="D54" s="118" t="n"/>
      <c r="E54" s="119" t="n"/>
    </row>
    <row r="55">
      <c r="A55" s="112" t="inlineStr">
        <is>
          <t>☐  Validate customer support cost as we hire</t>
        </is>
      </c>
      <c r="B55" s="118" t="n"/>
      <c r="C55" s="118" t="n"/>
      <c r="D55" s="118" t="n"/>
      <c r="E55" s="119" t="n"/>
    </row>
    <row r="56">
      <c r="A56" s="112" t="inlineStr">
        <is>
          <t>☐  Validate refund cost from real data months 1-3</t>
        </is>
      </c>
      <c r="B56" s="118" t="n"/>
      <c r="C56" s="118" t="n"/>
      <c r="D56" s="118" t="n"/>
      <c r="E56" s="119" t="n"/>
    </row>
    <row r="57">
      <c r="A57" s="112" t="inlineStr">
        <is>
          <t>☐  Validate FX fee impact on non-USD purchases</t>
        </is>
      </c>
      <c r="B57" s="118" t="n"/>
      <c r="C57" s="118" t="n"/>
      <c r="D57" s="118" t="n"/>
      <c r="E57" s="119" t="n"/>
    </row>
    <row r="58">
      <c r="A58" s="112" t="inlineStr">
        <is>
          <t>☐  Validate marketing CAC after first campaign</t>
        </is>
      </c>
      <c r="B58" s="118" t="n"/>
      <c r="C58" s="118" t="n"/>
      <c r="D58" s="118" t="n"/>
      <c r="E58" s="119" t="n"/>
    </row>
    <row r="59">
      <c r="A59" s="112" t="inlineStr">
        <is>
          <t>☐  Validate insurance quote (currently estimate)</t>
        </is>
      </c>
      <c r="B59" s="118" t="n"/>
      <c r="C59" s="118" t="n"/>
      <c r="D59" s="118" t="n"/>
      <c r="E59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4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4" customWidth="1" min="9" max="9"/>
    <col width="16" customWidth="1" min="10" max="10"/>
  </cols>
  <sheetData>
    <row r="1">
      <c r="A1" s="1" t="inlineStr">
        <is>
          <t>Monthly P&amp;L across 4 scale scenarios</t>
        </is>
      </c>
    </row>
    <row r="2">
      <c r="A2" s="39" t="inlineStr">
        <is>
          <t>PURPOSE: Take Tab 3 per-user profit × user counts at different scales = total business P&amp;L. Answers "what does the business look like at N users?"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Beta (early testing)</t>
        </is>
      </c>
      <c r="B5" s="23" t="n">
        <v>100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5">
        <f>C5-D5</f>
        <v/>
      </c>
      <c r="F5" s="26">
        <f>IFERROR(E5/C5,0)</f>
        <v/>
      </c>
      <c r="G5" s="27">
        <f>B5*'README &amp; Assumptions'!B53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Soft Launch (Emirates seed)</t>
        </is>
      </c>
      <c r="B6" s="23" t="n">
        <v>1000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5">
        <f>C6-D6</f>
        <v/>
      </c>
      <c r="F6" s="26">
        <f>IFERROR(E6/C6,0)</f>
        <v/>
      </c>
      <c r="G6" s="27">
        <f>B6*'README &amp; Assumptions'!B53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Crew Network (Emirates + Etihad)</t>
        </is>
      </c>
      <c r="B7" s="23" t="n">
        <v>5000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5">
        <f>C7-D7</f>
        <v/>
      </c>
      <c r="F7" s="26">
        <f>IFERROR(E7/C7,0)</f>
        <v/>
      </c>
      <c r="G7" s="27">
        <f>B7*'README &amp; Assumptions'!B53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Multi-Airline (+ JAL + ANA)</t>
        </is>
      </c>
      <c r="B8" s="23" t="n">
        <v>20000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5">
        <f>C8-D8</f>
        <v/>
      </c>
      <c r="F8" s="26">
        <f>IFERROR(E8/C8,0)</f>
        <v/>
      </c>
      <c r="G8" s="27">
        <f>B8*'README &amp; Assumptions'!B53</f>
        <v/>
      </c>
      <c r="H8" s="25">
        <f>E8-G8</f>
        <v/>
      </c>
      <c r="I8" s="26">
        <f>IFERROR(H8/C8,0)</f>
        <v/>
      </c>
      <c r="J8" s="25">
        <f>H8*12</f>
        <v/>
      </c>
    </row>
    <row r="9">
      <c r="A9" s="43" t="inlineStr">
        <is>
          <t>Regional Scale</t>
        </is>
      </c>
      <c r="B9" s="71" t="n">
        <v>50000</v>
      </c>
      <c r="C9" s="86">
        <f>B9*SUMPRODUCT('Per-Tier Unit Economics'!I7:I13,'README &amp; Assumptions'!B36:B42)</f>
        <v/>
      </c>
      <c r="D9" s="86">
        <f>B9*SUMPRODUCT('Per-Tier Unit Economics'!J7:J13,'README &amp; Assumptions'!B36:B42)</f>
        <v/>
      </c>
      <c r="E9" s="86">
        <f>C9-D9</f>
        <v/>
      </c>
      <c r="F9" s="26">
        <f>IFERROR(E9/C9,0)</f>
        <v/>
      </c>
      <c r="G9" s="86">
        <f>B9*'README &amp; Assumptions'!B53</f>
        <v/>
      </c>
      <c r="H9" s="86">
        <f>E9-G9</f>
        <v/>
      </c>
      <c r="I9" s="26">
        <f>IFERROR(H9/C9,0)</f>
        <v/>
      </c>
      <c r="J9" s="86">
        <f>H9*12</f>
        <v/>
      </c>
    </row>
    <row r="10">
      <c r="A10" s="73" t="inlineStr">
        <is>
          <t>100K Target (full vision)</t>
        </is>
      </c>
    </row>
    <row r="11"/>
    <row r="12">
      <c r="A12" s="94" t="inlineStr">
        <is>
          <t>WORKED EXAMPLE — 1,000 users (the Base scenario explained step-by-step)</t>
        </is>
      </c>
    </row>
    <row r="13">
      <c r="A13" s="43" t="inlineStr">
        <is>
          <t>Step 1: Split 1,000 users by cabin tier (using locked mix %)</t>
        </is>
      </c>
    </row>
    <row r="14">
      <c r="A14" s="41" t="inlineStr">
        <is>
          <t>Tier</t>
        </is>
      </c>
      <c r="B14" s="41" t="inlineStr">
        <is>
          <t>% of users</t>
        </is>
      </c>
      <c r="C14" s="41" t="inlineStr">
        <is>
          <t># of users</t>
        </is>
      </c>
      <c r="D14" s="41" t="inlineStr">
        <is>
          <t>Profit/user/mo</t>
        </is>
      </c>
      <c r="E14" s="41" t="inlineStr">
        <is>
          <t>Total tier profit</t>
        </is>
      </c>
    </row>
    <row r="15">
      <c r="A15" s="90" t="inlineStr">
        <is>
          <t>Economy</t>
        </is>
      </c>
      <c r="B15" s="57" t="n">
        <v>0.5</v>
      </c>
      <c r="C15" s="71" t="n">
        <v>500</v>
      </c>
      <c r="D15" s="54" t="n">
        <v>3.65</v>
      </c>
      <c r="E15" s="86" t="n">
        <v>1825</v>
      </c>
    </row>
    <row r="16">
      <c r="A16" s="90" t="inlineStr">
        <is>
          <t>Roster Bundle</t>
        </is>
      </c>
      <c r="B16" s="57" t="n">
        <v>0.18</v>
      </c>
      <c r="C16" s="71" t="n">
        <v>180</v>
      </c>
      <c r="D16" s="54" t="n">
        <v>13.6</v>
      </c>
      <c r="E16" s="86" t="n">
        <v>2448</v>
      </c>
    </row>
    <row r="17">
      <c r="A17" s="90" t="inlineStr">
        <is>
          <t>Premium Economy</t>
        </is>
      </c>
      <c r="B17" s="57" t="n">
        <v>0.13</v>
      </c>
      <c r="C17" s="71" t="n">
        <v>130</v>
      </c>
      <c r="D17" s="54" t="n">
        <v>13.35</v>
      </c>
      <c r="E17" s="86" t="n">
        <v>1736</v>
      </c>
    </row>
    <row r="18">
      <c r="A18" s="90" t="inlineStr">
        <is>
          <t>Business</t>
        </is>
      </c>
      <c r="B18" s="57" t="n">
        <v>0.08</v>
      </c>
      <c r="C18" s="71" t="n">
        <v>80</v>
      </c>
      <c r="D18" s="54" t="n">
        <v>21.84</v>
      </c>
      <c r="E18" s="86" t="n">
        <v>1747</v>
      </c>
    </row>
    <row r="19">
      <c r="A19" s="90" t="inlineStr">
        <is>
          <t>First</t>
        </is>
      </c>
      <c r="B19" s="57" t="n">
        <v>0.03</v>
      </c>
      <c r="C19" s="71" t="n">
        <v>30</v>
      </c>
      <c r="D19" s="54" t="n">
        <v>23.33</v>
      </c>
      <c r="E19" s="86" t="n">
        <v>700</v>
      </c>
    </row>
    <row r="20">
      <c r="A20" s="90" t="inlineStr">
        <is>
          <t>First Suite</t>
        </is>
      </c>
      <c r="B20" s="57" t="n">
        <v>0.02</v>
      </c>
      <c r="C20" s="71" t="n">
        <v>20</v>
      </c>
      <c r="D20" s="54" t="n">
        <v>33</v>
      </c>
      <c r="E20" s="86" t="n">
        <v>660</v>
      </c>
    </row>
    <row r="21">
      <c r="A21" s="90" t="inlineStr">
        <is>
          <t>Cockpit</t>
        </is>
      </c>
      <c r="B21" s="57" t="n">
        <v>0.03</v>
      </c>
      <c r="C21" s="71" t="n">
        <v>30</v>
      </c>
      <c r="D21" s="54" t="n">
        <v>15.8</v>
      </c>
      <c r="E21" s="86" t="n">
        <v>474</v>
      </c>
    </row>
    <row r="22">
      <c r="A22" s="43" t="inlineStr">
        <is>
          <t>TOTAL</t>
        </is>
      </c>
    </row>
    <row r="24">
      <c r="A24" s="43" t="inlineStr">
        <is>
          <t>Step 2: Subtract operating cost</t>
        </is>
      </c>
    </row>
    <row r="25">
      <c r="A25" s="90" t="inlineStr">
        <is>
          <t>Monthly Gross Profit</t>
        </is>
      </c>
      <c r="B25" s="128" t="n">
        <v>9590</v>
      </c>
    </row>
    <row r="26">
      <c r="A26" s="90" t="inlineStr">
        <is>
          <t>OPEX (1,000 users × $1.80)</t>
        </is>
      </c>
      <c r="B26" s="128" t="n">
        <v>-1800</v>
      </c>
    </row>
    <row r="27">
      <c r="A27" s="90" t="inlineStr">
        <is>
          <t>Monthly Net Profit</t>
        </is>
      </c>
      <c r="B27" s="129" t="n">
        <v>7790</v>
      </c>
    </row>
    <row r="28">
      <c r="A28" s="90" t="inlineStr">
        <is>
          <t>Annual Net Profit</t>
        </is>
      </c>
    </row>
    <row r="30">
      <c r="A30" s="130" t="inlineStr">
        <is>
          <t>Bottom line: 1,000 users → $93,480/year. Scale to 10,000 → ~$935K/year. Scale to 100K → ~$9.35M/year.</t>
        </is>
      </c>
    </row>
  </sheetData>
  <mergeCells count="5">
    <mergeCell ref="A22:J22"/>
    <mergeCell ref="A2:J2"/>
    <mergeCell ref="A10:J10"/>
    <mergeCell ref="A28:J28"/>
    <mergeCell ref="A11:J1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4" customWidth="1" min="4" max="4"/>
    <col width="65" customWidth="1" min="5" max="5"/>
    <col width="25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  <c r="F5" s="136" t="inlineStr">
        <is>
          <t>Status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 assumption. Pay-per-order with wholesale supplier. NOT YET NEGOTIATED — pricing on price list but no contract signed.</t>
        </is>
      </c>
      <c r="F6" s="137" t="inlineStr">
        <is>
          <t>UNCERTAIN — needs negotiation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FALLBACK if pay-per-order does not work. Pre-buy full pool, get 10% off. User confident this can be negotiated. 15% breakage on unused.</t>
        </is>
      </c>
      <c r="F7" s="138" t="inlineStr">
        <is>
          <t>CONFIDENT — fallback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wholesale supplier, contract directly with upstream provider (eSIM Access or alternative). -40% estimate based on supplier margin analysis, NOT a real quote. Research in progress.</t>
        </is>
      </c>
      <c r="F8" s="139" t="inlineStr">
        <is>
          <t>PENDING RESEARCH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Economics'!I7:I13,'README &amp; Assumptions'!B36:B42)</f>
        <v/>
      </c>
      <c r="C12" s="24">
        <f>1000*SUMPRODUCT('Per-Tier Unit Economics'!J7:J13,'README &amp; Assumptions'!B36:B42)*B6</f>
        <v/>
      </c>
      <c r="D12" s="24">
        <f>D6</f>
        <v/>
      </c>
      <c r="E12" s="25">
        <f>B12-C12-D12-(1000*'README &amp; Assumptions'!B53)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Economics'!I7:I13,'README &amp; Assumptions'!B36:B42)</f>
        <v/>
      </c>
      <c r="C13" s="24">
        <f>1000*SUMPRODUCT('User Behavior'!B21:B27,'README &amp; Assumptions'!B36:B42)*'README &amp; Assumptions'!C31*B7</f>
        <v/>
      </c>
      <c r="D13" s="24">
        <f>D7</f>
        <v/>
      </c>
      <c r="E13" s="25">
        <f>B13-C13-D13-(1000*'README &amp; Assumptions'!B53)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Economics'!I7:I13,'README &amp; Assumptions'!B36:B42)</f>
        <v/>
      </c>
      <c r="C14" s="24">
        <f>1000*SUMPRODUCT('Per-Tier Unit Economics'!J7:J13,'README &amp; Assumptions'!B36:B42)*B8</f>
        <v/>
      </c>
      <c r="D14" s="24">
        <f>D8</f>
        <v/>
      </c>
      <c r="E14" s="25">
        <f>B14-C14-D14-(1000*'README &amp; Assumptions'!B53)</f>
        <v/>
      </c>
      <c r="F14" s="17">
        <f>IFERROR(E14/B14,0)</f>
        <v/>
      </c>
      <c r="G14" s="25">
        <f>E14*12</f>
        <v/>
      </c>
    </row>
    <row r="16">
      <c r="A16" s="140" t="inlineStr">
        <is>
          <t>ACTION ITEMS (2026-06-01)</t>
        </is>
      </c>
    </row>
    <row r="17">
      <c r="A17" t="inlineStr">
        <is>
          <t>1. Negotiate Option A pay-per-order pricing with current wholesale supplier</t>
        </is>
      </c>
    </row>
    <row r="18">
      <c r="A18" t="inlineStr">
        <is>
          <t>2. If A fails: negotiate -10% bulk prepay terms with same supplier</t>
        </is>
      </c>
    </row>
    <row r="19">
      <c r="A19" t="inlineStr">
        <is>
          <t>3. Research direct SIM/eSIM upstream providers for Option C (in progress 2026-06-01)</t>
        </is>
      </c>
    </row>
    <row r="20">
      <c r="A20" t="inlineStr">
        <is>
          <t>4. Get real quotes from direct providers to validate -40% assumption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4">
        <f>B5*'README &amp; Assumptions'!B53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4">
        <f>B6*'README &amp; Assumptions'!B53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4">
        <f>B7*'README &amp; Assumptions'!B53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4">
        <f>B8*'README &amp; Assumptions'!B53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Economics'!I7:I13,'README &amp; Assumptions'!B36:B42)</f>
        <v/>
      </c>
      <c r="D9" s="24">
        <f>B9*SUMPRODUCT('Per-Tier Unit Economics'!J7:J13,'README &amp; Assumptions'!B36:B42)</f>
        <v/>
      </c>
      <c r="E9" s="24">
        <f>B9*'README &amp; Assumptions'!B53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Economics'!I7:I13,'README &amp; Assumptions'!B36:B42)</f>
        <v/>
      </c>
      <c r="D10" s="24">
        <f>B10*SUMPRODUCT('Per-Tier Unit Economics'!J7:J13,'README &amp; Assumptions'!B36:B42)</f>
        <v/>
      </c>
      <c r="E10" s="24">
        <f>B10*'README &amp; Assumptions'!B53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Economics'!I7:I13,'README &amp; Assumptions'!B36:B42)</f>
        <v/>
      </c>
      <c r="D11" s="24">
        <f>B11*SUMPRODUCT('Per-Tier Unit Economics'!J7:J13,'README &amp; Assumptions'!B36:B42)</f>
        <v/>
      </c>
      <c r="E11" s="24">
        <f>B11*'README &amp; Assumptions'!B53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Economics'!I7:I13,'README &amp; Assumptions'!B36:B42)</f>
        <v/>
      </c>
      <c r="D12" s="24">
        <f>B12*SUMPRODUCT('Per-Tier Unit Economics'!J7:J13,'README &amp; Assumptions'!B36:B42)</f>
        <v/>
      </c>
      <c r="E12" s="24">
        <f>B12*'README &amp; Assumptions'!B53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Economics'!I7:I13,'README &amp; Assumptions'!B36:B42)</f>
        <v/>
      </c>
      <c r="D13" s="24">
        <f>B13*SUMPRODUCT('Per-Tier Unit Economics'!J7:J13,'README &amp; Assumptions'!B36:B42)</f>
        <v/>
      </c>
      <c r="E13" s="24">
        <f>B13*'README &amp; Assumptions'!B53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Economics'!I7:I13,'README &amp; Assumptions'!B36:B42)</f>
        <v/>
      </c>
      <c r="D14" s="24">
        <f>B14*SUMPRODUCT('Per-Tier Unit Economics'!J7:J13,'README &amp; Assumptions'!B36:B42)</f>
        <v/>
      </c>
      <c r="E14" s="24">
        <f>B14*'README &amp; Assumptions'!B53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Economics'!I7:I13,'README &amp; Assumptions'!B36:B42)</f>
        <v/>
      </c>
      <c r="D15" s="24">
        <f>B15*SUMPRODUCT('Per-Tier Unit Economics'!J7:J13,'README &amp; Assumptions'!B36:B42)</f>
        <v/>
      </c>
      <c r="E15" s="24">
        <f>B15*'README &amp; Assumptions'!B53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Economics'!I7:I13,'README &amp; Assumptions'!B36:B42)</f>
        <v/>
      </c>
      <c r="D16" s="24">
        <f>B16*SUMPRODUCT('Per-Tier Unit Economics'!J7:J13,'README &amp; Assumptions'!B36:B42)</f>
        <v/>
      </c>
      <c r="E16" s="24">
        <f>B16*'README &amp; Assumptions'!B53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Economics'!I7:I13,'README &amp; Assumptions'!B36:B42)</f>
        <v/>
      </c>
      <c r="D17" s="24">
        <f>B17*SUMPRODUCT('Per-Tier Unit Economics'!J7:J13,'README &amp; Assumptions'!B36:B42)</f>
        <v/>
      </c>
      <c r="E17" s="24">
        <f>B17*'README &amp; Assumptions'!B53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Economics'!I7:I13,'README &amp; Assumptions'!B36:B42)</f>
        <v/>
      </c>
      <c r="D18" s="24">
        <f>B18*SUMPRODUCT('Per-Tier Unit Economics'!J7:J13,'README &amp; Assumptions'!B36:B42)</f>
        <v/>
      </c>
      <c r="E18" s="24">
        <f>B18*'README &amp; Assumptions'!B53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Economics'!I7:I13,'README &amp; Assumptions'!B36:B42)</f>
        <v/>
      </c>
      <c r="D19" s="24">
        <f>B19*SUMPRODUCT('Per-Tier Unit Economics'!J7:J13,'README &amp; Assumptions'!B36:B42)</f>
        <v/>
      </c>
      <c r="E19" s="24">
        <f>B19*'README &amp; Assumptions'!B53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Economics'!I7:I13,'README &amp; Assumptions'!B36:B42)</f>
        <v/>
      </c>
      <c r="D20" s="24">
        <f>B20*SUMPRODUCT('Per-Tier Unit Economics'!J7:J13,'README &amp; Assumptions'!B36:B42)</f>
        <v/>
      </c>
      <c r="E20" s="24">
        <f>B20*'README &amp; Assumptions'!B53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Economics'!I7:I13,'README &amp; Assumptions'!B36:B42)</f>
        <v/>
      </c>
      <c r="D21" s="24">
        <f>B21*SUMPRODUCT('Per-Tier Unit Economics'!J7:J13,'README &amp; Assumptions'!B36:B42)</f>
        <v/>
      </c>
      <c r="E21" s="24">
        <f>B21*'README &amp; Assumptions'!B53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Economics'!I7:I13,'README &amp; Assumptions'!B36:B42)</f>
        <v/>
      </c>
      <c r="D22" s="24">
        <f>B22*SUMPRODUCT('Per-Tier Unit Economics'!J7:J13,'README &amp; Assumptions'!B36:B42)</f>
        <v/>
      </c>
      <c r="E22" s="24">
        <f>B22*'README &amp; Assumptions'!B53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Economics'!I7:I13,'README &amp; Assumptions'!B36:B42)</f>
        <v/>
      </c>
      <c r="D23" s="24">
        <f>B23*SUMPRODUCT('Per-Tier Unit Economics'!J7:J13,'README &amp; Assumptions'!B36:B42)</f>
        <v/>
      </c>
      <c r="E23" s="24">
        <f>B23*'README &amp; Assumptions'!B53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Economics'!I7:I13,'README &amp; Assumptions'!B36:B42)</f>
        <v/>
      </c>
      <c r="D24" s="24">
        <f>B24*SUMPRODUCT('Per-Tier Unit Economics'!J7:J13,'README &amp; Assumptions'!B36:B42)</f>
        <v/>
      </c>
      <c r="E24" s="24">
        <f>B24*'README &amp; Assumptions'!B53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Economics'!I7:I13,'README &amp; Assumptions'!B36:B42)</f>
        <v/>
      </c>
      <c r="D25" s="24">
        <f>B25*SUMPRODUCT('Per-Tier Unit Economics'!J7:J13,'README &amp; Assumptions'!B36:B42)</f>
        <v/>
      </c>
      <c r="E25" s="24">
        <f>B25*'README &amp; Assumptions'!B53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Economics'!I7:I13,'README &amp; Assumptions'!B36:B42)</f>
        <v/>
      </c>
      <c r="D26" s="24">
        <f>B26*SUMPRODUCT('Per-Tier Unit Economics'!J7:J13,'README &amp; Assumptions'!B36:B42)</f>
        <v/>
      </c>
      <c r="E26" s="24">
        <f>B26*'README &amp; Assumptions'!B53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Economics'!I7:I13,'README &amp; Assumptions'!B36:B42)</f>
        <v/>
      </c>
      <c r="D27" s="24">
        <f>B27*SUMPRODUCT('Per-Tier Unit Economics'!J7:J13,'README &amp; Assumptions'!B36:B42)</f>
        <v/>
      </c>
      <c r="E27" s="24">
        <f>B27*'README &amp; Assumptions'!B53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Economics'!I7:I13,'README &amp; Assumptions'!B36:B42)</f>
        <v/>
      </c>
      <c r="D28" s="24">
        <f>B28*SUMPRODUCT('Per-Tier Unit Economics'!J7:J13,'README &amp; Assumptions'!B36:B42)</f>
        <v/>
      </c>
      <c r="E28" s="24">
        <f>B28*'README &amp; Assumptions'!B53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55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🌴 Tourist Mix (light travel users —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Economics'!I7:I13,'README &amp; Assumptions'!B36:B42))-(1000*SUMPRODUCT('User Behavior'!B21:B27,'README &amp; Assumptions'!B36:B42)*'README &amp; Assumptions'!C31*F5)-(1000*'README &amp; Assumptions'!B53)</f>
        <v/>
      </c>
      <c r="H5" s="26">
        <f>IFERROR(G5/(1000*SUMPRODUCT('Per-Tier Unit Economics'!I7:I13,'README &amp; Assumptions'!B36:B42)),0)</f>
        <v/>
      </c>
    </row>
    <row r="6">
      <c r="A6" s="9" t="inlineStr">
        <is>
          <t>✈️ Crew Standard (current base — realistic for cabin crew)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Economics'!I7:I13,'README &amp; Assumptions'!B36:B42))-(1000*SUMPRODUCT('User Behavior'!B21:B27,'README &amp; Assumptions'!B36:B42)*'README &amp; Assumptions'!C31*F6)-(1000*'README &amp; Assumptions'!B53)</f>
        <v/>
      </c>
      <c r="H6" s="26">
        <f>IFERROR(G6/(1000*SUMPRODUCT('Per-Tier Unit Economics'!I7:I13,'README &amp; Assumptions'!B36:B42)),0)</f>
        <v/>
      </c>
    </row>
    <row r="7">
      <c r="A7" s="9" t="inlineStr">
        <is>
          <t>🔥 Power Crew (heavy-fliers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Economics'!I7:I13,'README &amp; Assumptions'!B36:B42))-(1000*SUMPRODUCT('User Behavior'!B21:B27,'README &amp; Assumptions'!B36:B42)*'README &amp; Assumptions'!C31*F7)-(1000*'README &amp; Assumptions'!B53)</f>
        <v/>
      </c>
      <c r="H7" s="26">
        <f>IFERROR(G7/(1000*SUMPRODUCT('Per-Tier Unit Economics'!I7:I13,'README &amp; Assumptions'!B36:B42)),0)</f>
        <v/>
      </c>
    </row>
    <row r="8">
      <c r="A8" s="9" t="inlineStr">
        <is>
          <t>💔 One-and-Done (bad acquisition, high churn)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Economics'!I7:I13,'README &amp; Assumptions'!B36:B42))-(1000*SUMPRODUCT('User Behavior'!B21:B27,'README &amp; Assumptions'!B36:B42)*'README &amp; Assumptions'!C31*F8)-(1000*'README &amp; Assumptions'!B53)</f>
        <v/>
      </c>
      <c r="H8" s="26">
        <f>IFERROR(G8/(1000*SUMPRODUCT('Per-Tier Unit Economics'!I7:I13,'README &amp; Assumptions'!B36:B42)),0)</f>
        <v/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41" t="inlineStr">
        <is>
          <t>Notes</t>
        </is>
      </c>
    </row>
    <row r="15">
      <c r="A15" s="90" t="inlineStr">
        <is>
          <t>🪤 PAYG Trap (most users stay on $4.99 Economy)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39" t="inlineStr">
        <is>
          <t>Most users stay PAYG. Worst case for ARPU.</t>
        </is>
      </c>
    </row>
    <row r="16">
      <c r="A16" s="90" t="inlineStr">
        <is>
          <t>🚀 Launch Reality (Months 1-6, Economy-heavy)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39" t="inlineStr">
        <is>
          <t>Realistic launch period — heavy Economy mix.</t>
        </is>
      </c>
    </row>
    <row r="17">
      <c r="A17" s="93" t="inlineStr">
        <is>
          <t>🎯 Steady State (CURRENT model — our default bet)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77" t="inlineStr">
        <is>
          <t>Steady-state guess. CURRENT MODEL.</t>
        </is>
      </c>
    </row>
    <row r="18">
      <c r="A18" s="90" t="inlineStr">
        <is>
          <t>📈 Ladder Climbers (strong subscription uptake)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39" t="inlineStr">
        <is>
          <t>Strong subscription uptake.</t>
        </is>
      </c>
    </row>
    <row r="19">
      <c r="A19" s="90" t="inlineStr">
        <is>
          <t>👑 Mature Crew (Year 2+, subscriptions dominate)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39" t="inlineStr">
        <is>
          <t>Mature population after Cockpit/First grow.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ratio + payback period.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First Suite</t>
        </is>
      </c>
      <c r="B11" s="29" t="n">
        <v>0.07000000000000001</v>
      </c>
      <c r="C11" s="20">
        <f>IFERROR(1/B11,0)</f>
        <v/>
      </c>
      <c r="D11" s="14" t="inlineStr">
        <is>
          <t>Top of ladder — concierge + status badge</t>
        </is>
      </c>
    </row>
    <row r="12">
      <c r="A12" s="9" t="inlineStr">
        <is>
          <t>Cockpit</t>
        </is>
      </c>
      <c r="B12" s="29" t="n">
        <v>0.006</v>
      </c>
      <c r="C12" s="20">
        <f>IFERROR(1/B12,0)</f>
        <v/>
      </c>
      <c r="D12" s="14" t="inlineStr">
        <is>
          <t>Annual prepay = automatic 12-mo retention</t>
        </is>
      </c>
    </row>
    <row r="13">
      <c r="A13" t="inlineStr">
        <is>
          <t>Refuel (add-on)</t>
        </is>
      </c>
      <c r="B13" t="n">
        <v>0.15</v>
      </c>
      <c r="C13">
        <f>IFERROR(1/B13,0)</f>
        <v/>
      </c>
      <c r="D13" t="inlineStr">
        <is>
          <t>Per-purchase, no subscription</t>
        </is>
      </c>
    </row>
    <row r="15">
      <c r="A15" s="3" t="n"/>
    </row>
    <row r="16">
      <c r="A16" s="8" t="inlineStr">
        <is>
          <t>CUSTOMER ACQUISITION COST (per-channel blended avg)</t>
        </is>
      </c>
      <c r="B16" s="8" t="n"/>
      <c r="C16" s="8" t="n"/>
      <c r="D16" s="8" t="n"/>
    </row>
    <row r="17">
      <c r="A17" s="9" t="inlineStr">
        <is>
          <t>Channel</t>
        </is>
      </c>
      <c r="B17" s="13" t="inlineStr">
        <is>
          <t>% of Acquisition</t>
        </is>
      </c>
      <c r="C17" s="28" t="inlineStr">
        <is>
          <t>$ CAC</t>
        </is>
      </c>
      <c r="D17" s="14" t="inlineStr">
        <is>
          <t>Notes</t>
        </is>
      </c>
    </row>
    <row r="18">
      <c r="A18" s="9" t="inlineStr">
        <is>
          <t>Organic / word-of-mouth</t>
        </is>
      </c>
      <c r="B18" s="13" t="n">
        <v>0.5</v>
      </c>
      <c r="C18" s="28" t="n">
        <v>0</v>
      </c>
      <c r="D18" s="14" t="inlineStr">
        <is>
          <t>Crew network referrals — free</t>
        </is>
      </c>
    </row>
    <row r="19">
      <c r="A19" s="9" t="inlineStr">
        <is>
          <t>Referral bonus ($5 credit)</t>
        </is>
      </c>
      <c r="B19" s="13" t="n">
        <v>0.25</v>
      </c>
      <c r="C19" s="28" t="n">
        <v>5</v>
      </c>
      <c r="D19" s="14" t="inlineStr">
        <is>
          <t>Existing user refers</t>
        </is>
      </c>
    </row>
    <row r="20">
      <c r="A20" s="9" t="inlineStr">
        <is>
          <t>Paid social (IG/TikTok)</t>
        </is>
      </c>
      <c r="B20" s="13" t="n">
        <v>0.15</v>
      </c>
      <c r="C20" s="28" t="n">
        <v>12</v>
      </c>
      <c r="D20" s="14" t="inlineStr">
        <is>
          <t>Cold acquisition</t>
        </is>
      </c>
    </row>
    <row r="21">
      <c r="A21" t="inlineStr">
        <is>
          <t>Influencer / crew creator</t>
        </is>
      </c>
      <c r="B21" t="n">
        <v>0.1</v>
      </c>
      <c r="C21" t="n">
        <v>8</v>
      </c>
      <c r="D21" t="inlineStr">
        <is>
          <t>Paid sponsorship to @crew_illust et al</t>
        </is>
      </c>
    </row>
    <row r="22">
      <c r="A22" s="9" t="n"/>
      <c r="C22" s="11" t="n"/>
    </row>
    <row r="23">
      <c r="A23" t="inlineStr">
        <is>
          <t>BLENDED CAC</t>
        </is>
      </c>
      <c r="C23">
        <f>SUMPRODUCT(B18:B21,C18:C21)</f>
        <v/>
      </c>
    </row>
    <row r="25">
      <c r="A25" s="3" t="n"/>
    </row>
    <row r="26">
      <c r="A26" s="8" t="inlineStr">
        <is>
          <t>LTV / CAC PER TIER (Gross Profit × Lifetime ÷ CAC)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9" t="inlineStr">
        <is>
          <t>Tier</t>
        </is>
      </c>
      <c r="B27" s="21" t="inlineStr">
        <is>
          <t>Gross Profit/mo</t>
        </is>
      </c>
      <c r="C27" s="20" t="inlineStr">
        <is>
          <t>Lifetime (mo)</t>
        </is>
      </c>
      <c r="D27" s="22" t="inlineStr">
        <is>
          <t>LTV</t>
        </is>
      </c>
      <c r="E27" s="21" t="inlineStr">
        <is>
          <t>CAC</t>
        </is>
      </c>
      <c r="F27" s="30" t="inlineStr">
        <is>
          <t>LTV:CAC</t>
        </is>
      </c>
      <c r="G27" s="20" t="inlineStr">
        <is>
          <t>Payback (mo)</t>
        </is>
      </c>
      <c r="H27" s="9" t="inlineStr">
        <is>
          <t>Verdict</t>
        </is>
      </c>
    </row>
    <row r="28">
      <c r="A28" s="9" t="inlineStr">
        <is>
          <t>Economy</t>
        </is>
      </c>
      <c r="B28" s="21">
        <f>'Per-Tier Unit Economics'!K7</f>
        <v/>
      </c>
      <c r="C28" s="20">
        <f>C6</f>
        <v/>
      </c>
      <c r="D28" s="22">
        <f>B28*C28</f>
        <v/>
      </c>
      <c r="E28" s="21">
        <f>$C$23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IF(F28&gt;=5,"Excellent",IF(F28&gt;=3,"Investable",IF(F28&gt;=1,"Marginal","Unprofitable")))</f>
        <v/>
      </c>
    </row>
    <row r="29">
      <c r="A29" s="9" t="inlineStr">
        <is>
          <t>Roster Bundle</t>
        </is>
      </c>
      <c r="B29" s="21">
        <f>'Per-Tier Unit Economics'!K8</f>
        <v/>
      </c>
      <c r="C29" s="20">
        <f>C7</f>
        <v/>
      </c>
      <c r="D29" s="22">
        <f>B29*C29</f>
        <v/>
      </c>
      <c r="E29" s="21">
        <f>$C$23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IF(F29&gt;=5,"Excellent",IF(F29&gt;=3,"Investable",IF(F29&gt;=1,"Marginal","Unprofitable")))</f>
        <v/>
      </c>
    </row>
    <row r="30">
      <c r="A30" s="9" t="inlineStr">
        <is>
          <t>Premium Economy</t>
        </is>
      </c>
      <c r="B30" s="21">
        <f>'Per-Tier Unit Economics'!K9</f>
        <v/>
      </c>
      <c r="C30" s="20">
        <f>C8</f>
        <v/>
      </c>
      <c r="D30" s="22">
        <f>B30*C30</f>
        <v/>
      </c>
      <c r="E30" s="21">
        <f>$C$23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IF(F30&gt;=5,"Excellent",IF(F30&gt;=3,"Investable",IF(F30&gt;=1,"Marginal","Unprofitable")))</f>
        <v/>
      </c>
    </row>
    <row r="31">
      <c r="A31" s="9" t="inlineStr">
        <is>
          <t>Business</t>
        </is>
      </c>
      <c r="B31" s="21">
        <f>'Per-Tier Unit Economics'!K10</f>
        <v/>
      </c>
      <c r="C31" s="20">
        <f>C9</f>
        <v/>
      </c>
      <c r="D31" s="22">
        <f>B31*C31</f>
        <v/>
      </c>
      <c r="E31" s="21">
        <f>$C$23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IF(F31&gt;=5,"Excellent",IF(F31&gt;=3,"Investable",IF(F31&gt;=1,"Marginal","Unprofitable")))</f>
        <v/>
      </c>
    </row>
    <row r="32">
      <c r="A32" s="9" t="inlineStr">
        <is>
          <t>First</t>
        </is>
      </c>
      <c r="B32" s="21">
        <f>'Per-Tier Unit Economics'!K11</f>
        <v/>
      </c>
      <c r="C32" s="20">
        <f>C10</f>
        <v/>
      </c>
      <c r="D32" s="22">
        <f>B32*C32</f>
        <v/>
      </c>
      <c r="E32" s="21">
        <f>$C$23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IF(F32&gt;=5,"Excellent",IF(F32&gt;=3,"Investable",IF(F32&gt;=1,"Marginal","Unprofitable")))</f>
        <v/>
      </c>
    </row>
    <row r="33">
      <c r="A33" s="9" t="inlineStr">
        <is>
          <t>First Suite</t>
        </is>
      </c>
      <c r="B33" s="21">
        <f>'Per-Tier Unit Economics'!K12</f>
        <v/>
      </c>
      <c r="C33" s="20">
        <f>C11</f>
        <v/>
      </c>
      <c r="D33" s="22">
        <f>B33*C33</f>
        <v/>
      </c>
      <c r="E33" s="21">
        <f>$C$23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IF(F33&gt;=5,"Excellent",IF(F33&gt;=3,"Investable",IF(F33&gt;=1,"Marginal","Unprofitable")))</f>
        <v/>
      </c>
    </row>
    <row r="34">
      <c r="A34" t="inlineStr">
        <is>
          <t>Cockpit</t>
        </is>
      </c>
      <c r="B34">
        <f>'Per-Tier Unit Economics'!K13</f>
        <v/>
      </c>
      <c r="C34">
        <f>C12</f>
        <v/>
      </c>
      <c r="D34">
        <f>B34*C34</f>
        <v/>
      </c>
      <c r="E34">
        <f>$C$23</f>
        <v/>
      </c>
      <c r="F34">
        <f>IFERROR(D34/E34,0)</f>
        <v/>
      </c>
      <c r="G34">
        <f>IFERROR(E34/B34,0)</f>
        <v/>
      </c>
      <c r="H34">
        <f>IF(F34&gt;=5,"Excellent",IF(F34&gt;=3,"Investable",IF(F34&gt;=1,"Marginal","Unprofitable")))</f>
        <v/>
      </c>
    </row>
    <row r="35">
      <c r="A35" t="inlineStr">
        <is>
          <t>Refuel</t>
        </is>
      </c>
      <c r="B35">
        <f>'README &amp; Assumptions'!B21-'README &amp; Assumptions'!C31</f>
        <v/>
      </c>
      <c r="C35">
        <f>C13</f>
        <v/>
      </c>
      <c r="D35">
        <f>B35*C35</f>
        <v/>
      </c>
      <c r="E35">
        <f>$C$23</f>
        <v/>
      </c>
      <c r="F35">
        <f>IFERROR(D35/E35,0)</f>
        <v/>
      </c>
      <c r="G35">
        <f>IFERROR(E35/B35,0)</f>
        <v/>
      </c>
      <c r="H35">
        <f>IF(F35&gt;=5,"Excellent",IF(F35&gt;=3,"Investable",IF(F35&gt;=1,"Marginal","Unprofitable")))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Assumptions'!C27+C5*'README &amp; Assumptions'!C28+D5*'README &amp; Assumptions'!C29</f>
        <v/>
      </c>
      <c r="F5" s="11">
        <f>'README &amp; Assumptions'!C31-E5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Assumptions'!C27+C6*'README &amp; Assumptions'!C28+D6*'README &amp; Assumptions'!C29</f>
        <v/>
      </c>
      <c r="F6" s="11">
        <f>'README &amp; Assumptions'!C31-E6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Assumptions'!C27+C7*'README &amp; Assumptions'!C28+D7*'README &amp; Assumptions'!C29</f>
        <v/>
      </c>
      <c r="F7" s="11">
        <f>'README &amp; Assumptions'!C31-E7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Assumptions'!C27+C8*'README &amp; Assumptions'!C28+D8*'README &amp; Assumptions'!C29</f>
        <v/>
      </c>
      <c r="F8" s="11">
        <f>'README &amp; Assumptions'!C31-E8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Assumptions'!C27+C9*'README &amp; Assumptions'!C28+D9*'README &amp; Assumptions'!C29</f>
        <v/>
      </c>
      <c r="F9" s="11">
        <f>'README &amp; Assumptions'!C31-E9</f>
        <v/>
      </c>
    </row>
    <row r="10">
      <c r="A10" s="9" t="inlineStr">
        <is>
          <t>First Suite</t>
        </is>
      </c>
      <c r="B10" s="13" t="n">
        <v>0.5</v>
      </c>
      <c r="C10" s="13" t="n">
        <v>0.3</v>
      </c>
      <c r="D10" s="13" t="n">
        <v>0.2</v>
      </c>
      <c r="E10" s="11">
        <f>B10*'README &amp; Assumptions'!C27+C10*'README &amp; Assumptions'!C28+D10*'README &amp; Assumptions'!C29</f>
        <v/>
      </c>
      <c r="F10" s="11">
        <f>'README &amp; Assumptions'!C31-E10</f>
        <v/>
      </c>
      <c r="I10" s="92" t="inlineStr">
        <is>
          <t>⚠ Mix assumed same as First — update post-launch with real data</t>
        </is>
      </c>
    </row>
    <row r="11">
      <c r="A11" s="9" t="inlineStr">
        <is>
          <t>Cockpit</t>
        </is>
      </c>
      <c r="B11" s="13" t="n">
        <v>0.65</v>
      </c>
      <c r="C11" s="13" t="n">
        <v>0.25</v>
      </c>
      <c r="D11" s="13" t="n">
        <v>0.1</v>
      </c>
      <c r="E11" s="11">
        <f>B11*'README &amp; Assumptions'!C27+C11*'README &amp; Assumptions'!C28+D11*'README &amp; Assumptions'!C29</f>
        <v/>
      </c>
      <c r="F11" s="11">
        <f>'README &amp; Assumptions'!C31-E11</f>
        <v/>
      </c>
    </row>
    <row r="12">
      <c r="A12" t="inlineStr">
        <is>
          <t>Refuel</t>
        </is>
      </c>
      <c r="B12" t="n">
        <v>0.6</v>
      </c>
      <c r="C12" t="n">
        <v>0.25</v>
      </c>
      <c r="D12" t="n">
        <v>0.15</v>
      </c>
      <c r="E12">
        <f>B12*'README &amp; Assumptions'!C27+C12*'README &amp; Assumptions'!C28+D12*'README &amp; Assumptions'!C29</f>
        <v/>
      </c>
      <c r="F12">
        <f>'README &amp; Assumptions'!C31-E12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Economics'!B7</f>
        <v/>
      </c>
      <c r="C15" s="18">
        <f>'Per-Tier Unit Economics'!C7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Economics'!K7</f>
        <v/>
      </c>
    </row>
    <row r="16">
      <c r="A16" s="9" t="inlineStr">
        <is>
          <t>Roster Bundle</t>
        </is>
      </c>
      <c r="B16" s="21">
        <f>'Per-Tier Unit Economics'!B8</f>
        <v/>
      </c>
      <c r="C16" s="18">
        <f>'Per-Tier Unit Economics'!C8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Economics'!K8</f>
        <v/>
      </c>
    </row>
    <row r="17">
      <c r="A17" s="9" t="inlineStr">
        <is>
          <t>Premium Economy</t>
        </is>
      </c>
      <c r="B17" s="21">
        <f>'Per-Tier Unit Economics'!B9</f>
        <v/>
      </c>
      <c r="C17" s="18">
        <f>'Per-Tier Unit Economics'!C9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Economics'!K9</f>
        <v/>
      </c>
    </row>
    <row r="18">
      <c r="A18" s="9" t="inlineStr">
        <is>
          <t>Business</t>
        </is>
      </c>
      <c r="B18" s="21">
        <f>'Per-Tier Unit Economics'!B10</f>
        <v/>
      </c>
      <c r="C18" s="18">
        <f>'Per-Tier Unit Economics'!C10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Economics'!K10</f>
        <v/>
      </c>
    </row>
    <row r="19">
      <c r="A19" s="9" t="inlineStr">
        <is>
          <t>First</t>
        </is>
      </c>
      <c r="B19" s="21">
        <f>'Per-Tier Unit Economics'!B11</f>
        <v/>
      </c>
      <c r="C19" s="18">
        <f>'Per-Tier Unit Economics'!C11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Economics'!K11</f>
        <v/>
      </c>
    </row>
    <row r="20">
      <c r="A20" s="9" t="inlineStr">
        <is>
          <t>First Suite</t>
        </is>
      </c>
      <c r="B20" s="21">
        <f>'Per-Tier Unit Economics'!B12</f>
        <v/>
      </c>
      <c r="C20" s="18">
        <f>'Per-Tier Unit Economics'!C12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Economics'!K12</f>
        <v/>
      </c>
    </row>
    <row r="21">
      <c r="A21" s="9" t="inlineStr">
        <is>
          <t>Cockpit</t>
        </is>
      </c>
      <c r="B21" s="21">
        <f>'Per-Tier Unit Economics'!B13</f>
        <v/>
      </c>
      <c r="C21" s="18">
        <f>'Per-Tier Unit Economics'!C13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Economics'!K13</f>
        <v/>
      </c>
    </row>
    <row r="22">
      <c r="A22" t="inlineStr">
        <is>
          <t>Refuel</t>
        </is>
      </c>
      <c r="B22">
        <f>'README &amp; Assumptions'!B21</f>
        <v/>
      </c>
      <c r="C22" t="n">
        <v>1</v>
      </c>
      <c r="D22">
        <f>E12</f>
        <v/>
      </c>
      <c r="E22">
        <f>C22*D22</f>
        <v/>
      </c>
      <c r="F22">
        <f>B22-E22</f>
        <v/>
      </c>
      <c r="G22">
        <f>IFERROR(F22/B22,0)</f>
        <v/>
      </c>
      <c r="H22">
        <f>F22-('README &amp; Assumptions'!B21-'README &amp; Assumptions'!C31)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Behavior'!C21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Assumptions'!C31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Behavior'!C22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Assumptions'!C31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Behavior'!C23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Assumptions'!C31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Behavior'!C24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Assumptions'!C31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Behavior'!C25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Assumptions'!C31</f>
        <v/>
      </c>
    </row>
    <row r="11">
      <c r="A11" s="9" t="inlineStr">
        <is>
          <t>First Suite</t>
        </is>
      </c>
      <c r="B11" s="18">
        <f>'README &amp; Assumptions'!D19</f>
        <v/>
      </c>
      <c r="C11" s="19">
        <f>'User Behavior'!C26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Assumptions'!C31</f>
        <v/>
      </c>
    </row>
    <row r="12">
      <c r="A12" s="9" t="inlineStr">
        <is>
          <t>Cockpit</t>
        </is>
      </c>
      <c r="B12" s="18">
        <f>'README &amp; Assumptions'!D20</f>
        <v/>
      </c>
      <c r="C12" s="19">
        <f>'User Behavior'!C27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Assumptions'!C31</f>
        <v/>
      </c>
    </row>
    <row r="13">
      <c r="A13" t="inlineStr">
        <is>
          <t>Refuel</t>
        </is>
      </c>
      <c r="B13">
        <f>'README &amp; Assumptions'!D21</f>
        <v/>
      </c>
      <c r="C13">
        <f>'User Behavior'!C28</f>
        <v/>
      </c>
      <c r="D13">
        <f>B13*(1-C13)</f>
        <v/>
      </c>
      <c r="E13">
        <f>'README &amp; Assumptions'!E21</f>
        <v/>
      </c>
      <c r="F13">
        <f>D13*E13</f>
        <v/>
      </c>
      <c r="G13">
        <f>F13*'README &amp; Assumptions'!C31</f>
        <v/>
      </c>
    </row>
    <row r="15">
      <c r="A15" s="3" t="inlineStr">
        <is>
          <t>CUMULATIVE LIABILITY OVER 12 MONTHS (at base 1,000 users, depending on mix)</t>
        </is>
      </c>
    </row>
    <row r="16">
      <c r="A16" s="14" t="inlineStr">
        <is>
          <t>Assumes 20%/mo redemption rate. Net accrual = carried − redeemed.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Assumptions'!B36:B42)</f>
        <v/>
      </c>
      <c r="C19" s="20" t="n">
        <v>0</v>
      </c>
      <c r="D19" s="33">
        <f>B19-C19</f>
        <v/>
      </c>
      <c r="E19" s="25">
        <f>D19*'README &amp; Assumptions'!C31</f>
        <v/>
      </c>
    </row>
    <row r="20">
      <c r="A20" s="9" t="inlineStr">
        <is>
          <t>M2</t>
        </is>
      </c>
      <c r="B20" s="20">
        <f>1000*SUMPRODUCT(F6:F12,'README &amp; Assumptions'!B36:B42)</f>
        <v/>
      </c>
      <c r="C20" s="20">
        <f>D19*$B$18</f>
        <v/>
      </c>
      <c r="D20" s="33">
        <f>D19+B20-C20</f>
        <v/>
      </c>
      <c r="E20" s="25">
        <f>D20*'README &amp; Assumptions'!C31</f>
        <v/>
      </c>
    </row>
    <row r="21">
      <c r="A21" s="9" t="inlineStr">
        <is>
          <t>M3</t>
        </is>
      </c>
      <c r="B21" s="20">
        <f>1000*SUMPRODUCT(F6:F12,'README &amp; Assumptions'!B36:B42)</f>
        <v/>
      </c>
      <c r="C21" s="20">
        <f>D20*$B$18</f>
        <v/>
      </c>
      <c r="D21" s="33">
        <f>D20+B21-C21</f>
        <v/>
      </c>
      <c r="E21" s="25">
        <f>D21*'README &amp; Assumptions'!C31</f>
        <v/>
      </c>
    </row>
    <row r="22">
      <c r="A22" s="9" t="inlineStr">
        <is>
          <t>M4</t>
        </is>
      </c>
      <c r="B22" s="20">
        <f>1000*SUMPRODUCT(F6:F12,'README &amp; Assumptions'!B36:B42)</f>
        <v/>
      </c>
      <c r="C22" s="20">
        <f>D21*$B$18</f>
        <v/>
      </c>
      <c r="D22" s="33">
        <f>D21+B22-C22</f>
        <v/>
      </c>
      <c r="E22" s="25">
        <f>D22*'README &amp; Assumptions'!C31</f>
        <v/>
      </c>
    </row>
    <row r="23">
      <c r="A23" s="9" t="inlineStr">
        <is>
          <t>M5</t>
        </is>
      </c>
      <c r="B23" s="20">
        <f>1000*SUMPRODUCT(F6:F12,'README &amp; Assumptions'!B36:B42)</f>
        <v/>
      </c>
      <c r="C23" s="20">
        <f>D22*$B$18</f>
        <v/>
      </c>
      <c r="D23" s="33">
        <f>D22+B23-C23</f>
        <v/>
      </c>
      <c r="E23" s="25">
        <f>D23*'README &amp; Assumptions'!C31</f>
        <v/>
      </c>
    </row>
    <row r="24">
      <c r="A24" s="9" t="inlineStr">
        <is>
          <t>M6</t>
        </is>
      </c>
      <c r="B24" s="20">
        <f>1000*SUMPRODUCT(F6:F12,'README &amp; Assumptions'!B36:B42)</f>
        <v/>
      </c>
      <c r="C24" s="20">
        <f>D23*$B$18</f>
        <v/>
      </c>
      <c r="D24" s="33">
        <f>D23+B24-C24</f>
        <v/>
      </c>
      <c r="E24" s="25">
        <f>D24*'README &amp; Assumptions'!C31</f>
        <v/>
      </c>
    </row>
    <row r="25">
      <c r="A25" s="9" t="inlineStr">
        <is>
          <t>M7</t>
        </is>
      </c>
      <c r="B25" s="20">
        <f>1000*SUMPRODUCT(F6:F12,'README &amp; Assumptions'!B36:B42)</f>
        <v/>
      </c>
      <c r="C25" s="20">
        <f>D24*$B$18</f>
        <v/>
      </c>
      <c r="D25" s="33">
        <f>D24+B25-C25</f>
        <v/>
      </c>
      <c r="E25" s="25">
        <f>D25*'README &amp; Assumptions'!C31</f>
        <v/>
      </c>
    </row>
    <row r="26">
      <c r="A26" s="9" t="inlineStr">
        <is>
          <t>M8</t>
        </is>
      </c>
      <c r="B26" s="20">
        <f>1000*SUMPRODUCT(F6:F12,'README &amp; Assumptions'!B36:B42)</f>
        <v/>
      </c>
      <c r="C26" s="20">
        <f>D25*$B$18</f>
        <v/>
      </c>
      <c r="D26" s="33">
        <f>D25+B26-C26</f>
        <v/>
      </c>
      <c r="E26" s="25">
        <f>D26*'README &amp; Assumptions'!C31</f>
        <v/>
      </c>
    </row>
    <row r="27">
      <c r="A27" s="9" t="inlineStr">
        <is>
          <t>M9</t>
        </is>
      </c>
      <c r="B27" s="20">
        <f>1000*SUMPRODUCT(F6:F12,'README &amp; Assumptions'!B36:B42)</f>
        <v/>
      </c>
      <c r="C27" s="20">
        <f>D26*$B$18</f>
        <v/>
      </c>
      <c r="D27" s="33">
        <f>D26+B27-C27</f>
        <v/>
      </c>
      <c r="E27" s="25">
        <f>D27*'README &amp; Assumptions'!C31</f>
        <v/>
      </c>
    </row>
    <row r="28">
      <c r="A28" s="9" t="inlineStr">
        <is>
          <t>M10</t>
        </is>
      </c>
      <c r="B28" s="20">
        <f>1000*SUMPRODUCT(F6:F12,'README &amp; Assumptions'!B36:B42)</f>
        <v/>
      </c>
      <c r="C28" s="20">
        <f>D27*$B$18</f>
        <v/>
      </c>
      <c r="D28" s="33">
        <f>D27+B28-C28</f>
        <v/>
      </c>
      <c r="E28" s="25">
        <f>D28*'README &amp; Assumptions'!C31</f>
        <v/>
      </c>
    </row>
    <row r="29">
      <c r="A29" s="9" t="inlineStr">
        <is>
          <t>M11</t>
        </is>
      </c>
      <c r="B29" s="20">
        <f>1000*SUMPRODUCT(F6:F12,'README &amp; Assumptions'!B36:B42)</f>
        <v/>
      </c>
      <c r="C29" s="20">
        <f>D28*$B$18</f>
        <v/>
      </c>
      <c r="D29" s="33">
        <f>D28+B29-C29</f>
        <v/>
      </c>
      <c r="E29" s="25">
        <f>D29*'README &amp; Assumptions'!C31</f>
        <v/>
      </c>
    </row>
    <row r="30">
      <c r="A30" s="9" t="inlineStr">
        <is>
          <t>M12</t>
        </is>
      </c>
      <c r="B30" s="20">
        <f>1000*SUMPRODUCT(F6:F12,'README &amp; Assumptions'!B36:B42)</f>
        <v/>
      </c>
      <c r="C30" s="20">
        <f>D29*$B$18</f>
        <v/>
      </c>
      <c r="D30" s="33">
        <f>D29+B30-C30</f>
        <v/>
      </c>
      <c r="E30" s="25">
        <f>D30*'README &amp; Assumptions'!C31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Economics'!I7:I13,'README &amp; Assumptions'!B36:B42)*12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Economics'!I7:I13,'README &amp; Assumptions'!B36:B42)*12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Economics'!I7:I13,'README &amp; Assumptions'!B36:B42)*12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Economics'!B7</f>
        <v/>
      </c>
      <c r="C24" s="21">
        <f>'Per-Tier Unit Economics'!E7</f>
        <v/>
      </c>
      <c r="D24" s="21">
        <f>'README &amp; Assumptions'!B53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Economics'!B8</f>
        <v/>
      </c>
      <c r="C25" s="21">
        <f>'Per-Tier Unit Economics'!E8</f>
        <v/>
      </c>
      <c r="D25" s="21">
        <f>'README &amp; Assumptions'!B53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Economics'!B9</f>
        <v/>
      </c>
      <c r="C26" s="21">
        <f>'Per-Tier Unit Economics'!E9</f>
        <v/>
      </c>
      <c r="D26" s="21">
        <f>'README &amp; Assumptions'!B53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Economics'!B10</f>
        <v/>
      </c>
      <c r="C27" s="21">
        <f>'Per-Tier Unit Economics'!E10</f>
        <v/>
      </c>
      <c r="D27" s="21">
        <f>'README &amp; Assumptions'!B53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Economics'!B11</f>
        <v/>
      </c>
      <c r="C28" s="21">
        <f>'Per-Tier Unit Economics'!E11</f>
        <v/>
      </c>
      <c r="D28" s="21">
        <f>'README &amp; Assumptions'!B53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First Suite</t>
        </is>
      </c>
      <c r="B29" s="21">
        <f>'Per-Tier Unit Economics'!B12</f>
        <v/>
      </c>
      <c r="C29" s="21">
        <f>'Per-Tier Unit Economics'!E12</f>
        <v/>
      </c>
      <c r="D29" s="21">
        <f>'README &amp; Assumptions'!B53</f>
        <v/>
      </c>
      <c r="E29" s="22">
        <f>C29+D29</f>
        <v/>
      </c>
      <c r="F29" s="10" t="n">
        <v>45</v>
      </c>
      <c r="G29" s="127" t="inlineStr">
        <is>
          <t>⚠ PLACEHOLDER — Crew SIM has no First Suite tier. Akito to validate competitive price.</t>
        </is>
      </c>
    </row>
    <row r="30">
      <c r="A30" s="9" t="inlineStr">
        <is>
          <t>Cockpit</t>
        </is>
      </c>
      <c r="B30" s="21">
        <f>'Per-Tier Unit Economics'!B13</f>
        <v/>
      </c>
      <c r="C30" s="21">
        <f>'Per-Tier Unit Economics'!E13</f>
        <v/>
      </c>
      <c r="D30" s="21">
        <f>'README &amp; Assumptions'!B53</f>
        <v/>
      </c>
      <c r="E30" s="22">
        <f>C30+D30</f>
        <v/>
      </c>
      <c r="F30" s="10" t="n">
        <v>24.99</v>
      </c>
      <c r="G30" s="35">
        <f>F30-E30</f>
        <v/>
      </c>
    </row>
    <row r="31">
      <c r="A31" t="inlineStr">
        <is>
          <t>Refuel</t>
        </is>
      </c>
      <c r="B31">
        <f>'README &amp; Assumptions'!B21</f>
        <v/>
      </c>
      <c r="C31">
        <f>'README &amp; Assumptions'!C31</f>
        <v/>
      </c>
      <c r="D31">
        <f>'README &amp; Assumptions'!B53</f>
        <v/>
      </c>
      <c r="E31">
        <f>C31+D31</f>
        <v/>
      </c>
      <c r="F31" t="n">
        <v>4.99</v>
      </c>
      <c r="G31">
        <f>F31-E31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1000*'README &amp; Assumptions'!B21*A5</f>
        <v/>
      </c>
      <c r="C5" s="24">
        <f>1000*'README &amp; Assumptions'!C31*A5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1000*'README &amp; Assumptions'!B21*A6</f>
        <v/>
      </c>
      <c r="C6" s="24">
        <f>1000*'README &amp; Assumptions'!C31*A6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1000*'README &amp; Assumptions'!B21*A7</f>
        <v/>
      </c>
      <c r="C7" s="24">
        <f>1000*'README &amp; Assumptions'!C31*A7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1000*'README &amp; Assumptions'!B21*A8</f>
        <v/>
      </c>
      <c r="C8" s="24">
        <f>1000*'README &amp; Assumptions'!C31*A8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1000*'README &amp; Assumptions'!B21*A9</f>
        <v/>
      </c>
      <c r="C9" s="24">
        <f>1000*'README &amp; Assumptions'!C31*A9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1000*'README &amp; Assumptions'!B21*A10</f>
        <v/>
      </c>
      <c r="C10" s="24">
        <f>1000*'README &amp; Assumptions'!C31*A10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2026-06-01T15:44:22Z</dcterms:modified>
</cp:coreProperties>
</file>