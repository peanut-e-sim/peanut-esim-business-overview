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5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</fonts>
  <fills count="26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  <xf numFmtId="176" fontId="5" fillId="0" borderId="0" pivotButton="0" quotePrefix="0" xfId="0"/>
    <xf numFmtId="176" fontId="8" fillId="0" borderId="0" pivotButton="0" quotePrefix="0" xfId="0"/>
    <xf numFmtId="0" fontId="49" fillId="0" borderId="0" pivotButton="0" quotePrefix="0" xfId="0"/>
    <xf numFmtId="0" fontId="25" fillId="19" borderId="0" pivotButton="0" quotePrefix="0" xfId="0"/>
    <xf numFmtId="173" fontId="0" fillId="19" borderId="0" pivotButton="0" quotePrefix="0" xfId="0"/>
    <xf numFmtId="173" fontId="42" fillId="7" borderId="0" pivotButton="0" quotePrefix="0" xfId="0"/>
    <xf numFmtId="173" fontId="43" fillId="2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wholesale supplier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our wholesale supplier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wholesale supplier actual (from rate sheet)</t>
        </is>
      </c>
      <c r="B6" s="42" t="n">
        <v>1.34</v>
      </c>
      <c r="C6" t="inlineStr">
        <is>
          <t>Current wholesale supplier actual blended (75/20/5 mix). Tier-A $0.85, Tier-B $1.40, Tier-C $8.50.</t>
        </is>
      </c>
    </row>
    <row r="7">
      <c r="A7" t="inlineStr">
        <is>
          <t>wholesale supplier target (after negotiation)</t>
        </is>
      </c>
      <c r="B7" s="42" t="n">
        <v>0.3</v>
      </c>
      <c r="C7" t="inlineStr">
        <is>
          <t>What we ask wholesale supplier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wholesale supplier actual</t>
        </is>
      </c>
      <c r="D27" s="41" t="inlineStr">
        <is>
          <t>COGS @ wholesale supplier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wholesale supplier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(wholesale supplier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wholesale-rate-sheet.xlsx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wholesale supplier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wholesale supplier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wholesale supplier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wholesale-rate-sheet.xlsx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wholesale supplier)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wholesale supplier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178">
        <f>B5*SUMPRODUCT('Per-Tier Unit Economics'!I7:I13,'README &amp; Assumptions'!B36:B42)</f>
        <v/>
      </c>
      <c r="D5" s="178">
        <f>B5*SUMPRODUCT('Per-Tier Unit Economics'!J7:J13,'README &amp; Assumptions'!B36:B42)</f>
        <v/>
      </c>
      <c r="E5" s="179">
        <f>C5-D5</f>
        <v/>
      </c>
      <c r="F5" s="26">
        <f>IFERROR(E5/C5,0)</f>
        <v/>
      </c>
      <c r="G5" s="86">
        <f>B5*'README &amp; Assumptions'!B53</f>
        <v/>
      </c>
      <c r="H5" s="179">
        <f>E5-G5</f>
        <v/>
      </c>
      <c r="I5" s="26">
        <f>IFERROR(H5/C5,0)</f>
        <v/>
      </c>
      <c r="J5" s="179">
        <f>H5*12</f>
        <v/>
      </c>
    </row>
    <row r="6">
      <c r="A6" s="9" t="inlineStr">
        <is>
          <t>Soft Launch (Emirates seed)</t>
        </is>
      </c>
      <c r="B6" s="23" t="n">
        <v>1000</v>
      </c>
      <c r="C6" s="178">
        <f>B6*SUMPRODUCT('Per-Tier Unit Economics'!I7:I13,'README &amp; Assumptions'!B36:B42)</f>
        <v/>
      </c>
      <c r="D6" s="178">
        <f>B6*SUMPRODUCT('Per-Tier Unit Economics'!J7:J13,'README &amp; Assumptions'!B36:B42)</f>
        <v/>
      </c>
      <c r="E6" s="179">
        <f>C6-D6</f>
        <v/>
      </c>
      <c r="F6" s="26">
        <f>IFERROR(E6/C6,0)</f>
        <v/>
      </c>
      <c r="G6" s="86">
        <f>B6*'README &amp; Assumptions'!B53</f>
        <v/>
      </c>
      <c r="H6" s="179">
        <f>E6-G6</f>
        <v/>
      </c>
      <c r="I6" s="26">
        <f>IFERROR(H6/C6,0)</f>
        <v/>
      </c>
      <c r="J6" s="179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178">
        <f>B7*SUMPRODUCT('Per-Tier Unit Economics'!I7:I13,'README &amp; Assumptions'!B36:B42)</f>
        <v/>
      </c>
      <c r="D7" s="178">
        <f>B7*SUMPRODUCT('Per-Tier Unit Economics'!J7:J13,'README &amp; Assumptions'!B36:B42)</f>
        <v/>
      </c>
      <c r="E7" s="179">
        <f>C7-D7</f>
        <v/>
      </c>
      <c r="F7" s="26">
        <f>IFERROR(E7/C7,0)</f>
        <v/>
      </c>
      <c r="G7" s="86">
        <f>B7*'README &amp; Assumptions'!B53</f>
        <v/>
      </c>
      <c r="H7" s="179">
        <f>E7-G7</f>
        <v/>
      </c>
      <c r="I7" s="26">
        <f>IFERROR(H7/C7,0)</f>
        <v/>
      </c>
      <c r="J7" s="179">
        <f>H7*12</f>
        <v/>
      </c>
    </row>
    <row r="8">
      <c r="A8" s="9" t="inlineStr">
        <is>
          <t>Multi-Airline (+ JAL + ANA)</t>
        </is>
      </c>
      <c r="B8" s="23" t="n">
        <v>20000</v>
      </c>
      <c r="C8" s="178">
        <f>B8*SUMPRODUCT('Per-Tier Unit Economics'!I7:I13,'README &amp; Assumptions'!B36:B42)</f>
        <v/>
      </c>
      <c r="D8" s="178">
        <f>B8*SUMPRODUCT('Per-Tier Unit Economics'!J7:J13,'README &amp; Assumptions'!B36:B42)</f>
        <v/>
      </c>
      <c r="E8" s="179">
        <f>C8-D8</f>
        <v/>
      </c>
      <c r="F8" s="26">
        <f>IFERROR(E8/C8,0)</f>
        <v/>
      </c>
      <c r="G8" s="86">
        <f>B8*'README &amp; Assumptions'!B53</f>
        <v/>
      </c>
      <c r="H8" s="179">
        <f>E8-G8</f>
        <v/>
      </c>
      <c r="I8" s="26">
        <f>IFERROR(H8/C8,0)</f>
        <v/>
      </c>
      <c r="J8" s="179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  <c r="B10" t="n">
        <v>100000</v>
      </c>
      <c r="C10" s="86">
        <f>B10*SUMPRODUCT('Per-Tier Unit Economics'!I7:I13,'README &amp; Assumptions'!B36:B42)</f>
        <v/>
      </c>
      <c r="D10" s="86">
        <f>B10*SUMPRODUCT('Per-Tier Unit Economics'!J7:J13,'README &amp; Assumptions'!B36:B42)</f>
        <v/>
      </c>
      <c r="E10" s="86">
        <f>C10-D10</f>
        <v/>
      </c>
      <c r="F10" s="26">
        <f>IFERROR(E10/C10,0)</f>
        <v/>
      </c>
      <c r="G10" s="86">
        <f>B10*'README &amp; Assumptions'!B53</f>
        <v/>
      </c>
      <c r="H10" s="86">
        <f>E10-G10</f>
        <v/>
      </c>
      <c r="I10" s="26">
        <f>IFERROR(H10/C10,0)</f>
        <v/>
      </c>
      <c r="J10" s="86">
        <f>H10*12</f>
        <v/>
      </c>
    </row>
    <row r="11">
      <c r="A11" s="180" t="inlineStr">
        <is>
          <t>NOTE: OPEX columns above use $1.80/user placeholder. Real OPEX = $0 today (no spend yet).</t>
        </is>
      </c>
    </row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>
        <f>'Per-Tier Unit Economics'!K7</f>
        <v/>
      </c>
      <c r="E15" s="54">
        <f>C15*D15</f>
        <v/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>
        <f>'Per-Tier Unit Economics'!K8</f>
        <v/>
      </c>
      <c r="E16" s="54">
        <f>C16*D16</f>
        <v/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>
        <f>'Per-Tier Unit Economics'!K9</f>
        <v/>
      </c>
      <c r="E17" s="54">
        <f>C17*D17</f>
        <v/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>
        <f>'Per-Tier Unit Economics'!K10</f>
        <v/>
      </c>
      <c r="E18" s="54">
        <f>C18*D18</f>
        <v/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>
        <f>'Per-Tier Unit Economics'!K11</f>
        <v/>
      </c>
      <c r="E19" s="54">
        <f>C19*D19</f>
        <v/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>
        <f>'Per-Tier Unit Economics'!K12</f>
        <v/>
      </c>
      <c r="E20" s="54">
        <f>C20*D20</f>
        <v/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>
        <f>'Per-Tier Unit Economics'!K13</f>
        <v/>
      </c>
      <c r="E21" s="54">
        <f>C21*D21</f>
        <v/>
      </c>
    </row>
    <row r="22">
      <c r="A22" s="151" t="inlineStr">
        <is>
          <t>TOTAL Monthly Gross Profit (1,000 users)</t>
        </is>
      </c>
      <c r="E22" s="154">
        <f>SUM(E15:E21)</f>
        <v/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54">
        <f>E22</f>
        <v/>
      </c>
    </row>
    <row r="26">
      <c r="A26" s="181" t="inlineStr">
        <is>
          <t>OPEX placeholder ($1.80/user) — NO real spend yet as of 2026-06-02</t>
        </is>
      </c>
      <c r="B26" s="182" t="n">
        <v>-1800</v>
      </c>
    </row>
    <row r="27">
      <c r="A27" s="90" t="inlineStr">
        <is>
          <t>Monthly Net Profit (after placeholder OPEX)</t>
        </is>
      </c>
      <c r="B27" s="183">
        <f>B25+B26</f>
        <v/>
      </c>
    </row>
    <row r="28">
      <c r="A28" s="90" t="inlineStr">
        <is>
          <t>Annual Net Profit (placeholder OPEX baseline)</t>
        </is>
      </c>
      <c r="B28" s="154">
        <f>B27*12</f>
        <v/>
      </c>
    </row>
    <row r="29">
      <c r="A29" t="inlineStr">
        <is>
          <t>Monthly Net at $0 OPEX (LAUNCH REALITY today)</t>
        </is>
      </c>
      <c r="B29" s="184">
        <f>B25</f>
        <v/>
      </c>
    </row>
    <row r="30">
      <c r="A30" s="165" t="inlineStr">
        <is>
          <t>BOTTOM LINE: 1,000 users → ~$149,748/yr gross (at $0 real OPEX). Scale to 10K → ~$1.50M/yr. Scale to 100K → ~$15M/yr.</t>
        </is>
      </c>
    </row>
  </sheetData>
  <mergeCells count="1">
    <mergeCell ref="A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wholesale supplier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wholesale supplier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wholesale supplier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wholesale supplier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wholesale supplier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wholesale supplier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wholesale supplier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2026-06-02T05:59:05Z</dcterms:modified>
</cp:coreProperties>
</file>