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5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  <font>
      <b val="1"/>
      <i val="1"/>
    </font>
    <font>
      <i val="1"/>
      <color rgb="00C9A03B"/>
    </font>
    <font>
      <b val="1"/>
      <color rgb="00888888"/>
    </font>
    <font>
      <i val="1"/>
      <color rgb="00888888"/>
    </font>
  </fonts>
  <fills count="26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  <xf numFmtId="0" fontId="37" fillId="3" borderId="0" applyAlignment="1" pivotButton="0" quotePrefix="0" xfId="0">
      <alignment horizontal="center" vertical="center"/>
    </xf>
    <xf numFmtId="0" fontId="8" fillId="20" borderId="0" pivotButton="0" quotePrefix="0" xfId="0"/>
    <xf numFmtId="0" fontId="8" fillId="25" borderId="0" pivotButton="0" quotePrefix="0" xfId="0"/>
    <xf numFmtId="0" fontId="0" fillId="25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46" fillId="24" borderId="0" pivotButton="0" quotePrefix="0" xfId="0"/>
    <xf numFmtId="0" fontId="8" fillId="19" borderId="0" pivotButton="0" quotePrefix="0" xfId="0"/>
    <xf numFmtId="165" fontId="4" fillId="19" borderId="0" pivotButton="0" quotePrefix="0" xfId="0"/>
    <xf numFmtId="166" fontId="5" fillId="19" borderId="0" pivotButton="0" quotePrefix="0" xfId="0"/>
    <xf numFmtId="0" fontId="47" fillId="19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2" fontId="42" fillId="0" borderId="0" pivotButton="0" quotePrefix="0" xfId="0"/>
    <xf numFmtId="166" fontId="42" fillId="0" borderId="0" pivotButton="0" quotePrefix="0" xfId="0"/>
    <xf numFmtId="0" fontId="46" fillId="0" borderId="0" pivotButton="0" quotePrefix="0" xfId="0"/>
    <xf numFmtId="0" fontId="40" fillId="24" borderId="0" applyAlignment="1" pivotButton="0" quotePrefix="0" xfId="0">
      <alignment wrapText="1"/>
    </xf>
    <xf numFmtId="0" fontId="48" fillId="0" borderId="0" pivotButton="0" quotePrefix="0" xfId="0"/>
    <xf numFmtId="0" fontId="49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wholesale supplier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our wholesale supplier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wholesale supplier actual (from rate sheet)</t>
        </is>
      </c>
      <c r="B6" s="42" t="n">
        <v>1.34</v>
      </c>
      <c r="C6" t="inlineStr">
        <is>
          <t>Current wholesale supplier actual blended (75/20/5 mix). Tier-A $0.85, Tier-B $1.40, Tier-C $8.50.</t>
        </is>
      </c>
    </row>
    <row r="7">
      <c r="A7" t="inlineStr">
        <is>
          <t>wholesale supplier target (after negotiation)</t>
        </is>
      </c>
      <c r="B7" s="42" t="n">
        <v>0.3</v>
      </c>
      <c r="C7" t="inlineStr">
        <is>
          <t>What we ask wholesale supplier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wholesale supplier actual</t>
        </is>
      </c>
      <c r="D27" s="41" t="inlineStr">
        <is>
          <t>COGS @ wholesale supplier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3"/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wholesale supplier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3"/>
    <row r="14">
      <c r="A14" s="40" t="inlineStr">
        <is>
          <t>2. WHOLESALE COST FLOOR (wholesale supplier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7"/>
    <row r="28"/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6"/>
    <row r="37"/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4"/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8"/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3"/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8"/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6"/>
    <row r="77">
      <c r="A77" s="40" t="inlineStr">
        <is>
          <t>8. SOURCES &amp; ASSUMPTIONS</t>
        </is>
      </c>
    </row>
    <row r="78">
      <c r="A78" s="39" t="inlineStr">
        <is>
          <t>• Wholesale costs: wholesale-rate-sheet.xlsx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3"/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wholesale supplier eSIM catalog as Economy</t>
        </is>
      </c>
    </row>
    <row r="13"/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wholesale supplier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2"/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0"/>
    <row r="31"/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39"/>
    <row r="40"/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wholesale supplier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48"/>
    <row r="49"/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0"/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7"/>
    <row r="68"/>
    <row r="69">
      <c r="A69" s="40" t="inlineStr">
        <is>
          <t>8. SOURCES &amp; ASSUMPTIONS</t>
        </is>
      </c>
    </row>
    <row r="70">
      <c r="A70" s="39" t="inlineStr">
        <is>
          <t>• Wholesale costs: wholesale-rate-sheet.xlsx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wholesale supplier)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wholesale supplier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</row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wholesale supplier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wholesale supplier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wholesale supplier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wholesale supplier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wholesale supplier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60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166" t="inlineStr">
        <is>
          <t>Cockpit</t>
        </is>
      </c>
      <c r="B12" s="167" t="inlineStr">
        <is>
          <t>Annual prepay</t>
        </is>
      </c>
      <c r="C12" s="168" t="n">
        <v>36</v>
      </c>
      <c r="D12" s="169" t="inlineStr">
        <is>
          <t>ANNUAL PREPAY: Year 1 forced retention (0% churn). After Year 1: ~70% renew. Realistic avg lifetime = ~36 months (3 years). Cannot use monthly churn formula.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159" t="inlineStr">
        <is>
          <t>CUSTOMER ACQUISITION COST — LAUNCH REALITY (word-of-mouth only)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160" t="inlineStr">
        <is>
          <t>Organic / crew word-of-mouth</t>
        </is>
      </c>
      <c r="B18" s="13" t="n">
        <v>0.85</v>
      </c>
      <c r="C18" s="28" t="n">
        <v>0</v>
      </c>
      <c r="D18" s="14" t="inlineStr">
        <is>
          <t>Cabin crew layover chat, group chats, social proof — 100% free</t>
        </is>
      </c>
    </row>
    <row r="19">
      <c r="A19" s="160" t="inlineStr">
        <is>
          <t>Referral bonus ($5 credit per referrer)</t>
        </is>
      </c>
      <c r="B19" s="13" t="n">
        <v>0.15</v>
      </c>
      <c r="C19" s="28" t="n">
        <v>5</v>
      </c>
      <c r="D19" s="14" t="inlineStr">
        <is>
          <t>Existing user refers a colleague — paid in credit, not cash</t>
        </is>
      </c>
    </row>
    <row r="20">
      <c r="A20" s="161" t="inlineStr">
        <is>
          <t>Paid social (FUTURE — NOT IN LAUNCH PLAN)</t>
        </is>
      </c>
      <c r="B20" s="13" t="n">
        <v>0</v>
      </c>
      <c r="C20" s="28" t="n">
        <v>12</v>
      </c>
      <c r="D20" s="14" t="inlineStr">
        <is>
          <t>⚠️ Set to 0% — no paid ads at launch per founder decision</t>
        </is>
      </c>
    </row>
    <row r="21">
      <c r="A21" s="162" t="inlineStr">
        <is>
          <t>Influencer / crew creator (FUTURE — NOT IN LAUNCH PLAN)</t>
        </is>
      </c>
      <c r="B21" t="n">
        <v>0</v>
      </c>
      <c r="C21" t="n">
        <v>8</v>
      </c>
      <c r="D21" t="inlineStr">
        <is>
          <t>⚠️ Set to 0% — Harikai partnership is asset swap, not paid CAC</t>
        </is>
      </c>
    </row>
    <row r="22">
      <c r="A22" s="9" t="n"/>
      <c r="C22" s="11" t="n"/>
    </row>
    <row r="23">
      <c r="A23" s="153" t="inlineStr">
        <is>
          <t>BLENDED CAC (Launch Reality)</t>
        </is>
      </c>
      <c r="C23" s="154">
        <f>SUMPRODUCT(B18:B21,C18:C21)</f>
        <v/>
      </c>
      <c r="D23" s="149" t="inlineStr">
        <is>
          <t>At launch: 85% organic + 15% referral = ~$0.75/user. Will rise when paid channels open.</t>
        </is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  <row r="45">
      <c r="A45" s="156" t="inlineStr">
        <is>
          <t>ECONOMY CHURN PRESSURE-TEST (industry sees 30-40% for trial-style tiers)</t>
        </is>
      </c>
    </row>
    <row r="46">
      <c r="A46" s="136" t="inlineStr">
        <is>
          <t>Scenario</t>
        </is>
      </c>
      <c r="B46" s="136" t="inlineStr">
        <is>
          <t>Monthly Churn</t>
        </is>
      </c>
      <c r="C46" s="136" t="inlineStr">
        <is>
          <t>Avg Lifetime (mo)</t>
        </is>
      </c>
      <c r="D46" s="136" t="inlineStr">
        <is>
          <t>LTV</t>
        </is>
      </c>
      <c r="E46" s="136" t="inlineStr">
        <is>
          <t>CAC</t>
        </is>
      </c>
      <c r="F46" s="136" t="inlineStr">
        <is>
          <t>LTV:CAC</t>
        </is>
      </c>
      <c r="G46" s="136" t="inlineStr">
        <is>
          <t>Verdict</t>
        </is>
      </c>
    </row>
    <row r="47">
      <c r="A47" t="inlineStr">
        <is>
          <t>Optimistic — current assumption</t>
        </is>
      </c>
      <c r="B47" s="26" t="n">
        <v>0.18</v>
      </c>
      <c r="C47" s="163">
        <f>1/B47</f>
        <v/>
      </c>
      <c r="D47" s="54">
        <f>B28*C47</f>
        <v/>
      </c>
      <c r="E47" s="54">
        <f>$C$23</f>
        <v/>
      </c>
      <c r="F47" s="164">
        <f>D47/E47</f>
        <v/>
      </c>
      <c r="G47">
        <f>IF(F47&gt;=5,"Excellent",IF(F47&gt;=3,"Investable",IF(F47&gt;=1,"Marginal","Unprofitable")))</f>
        <v/>
      </c>
    </row>
    <row r="48">
      <c r="A48" t="inlineStr">
        <is>
          <t>Realistic — travel-eSIM industry avg</t>
        </is>
      </c>
      <c r="B48" s="26" t="n">
        <v>0.3</v>
      </c>
      <c r="C48" s="163">
        <f>1/B48</f>
        <v/>
      </c>
      <c r="D48" s="54">
        <f>B28*C48</f>
        <v/>
      </c>
      <c r="E48" s="54">
        <f>$C$23</f>
        <v/>
      </c>
      <c r="F48" s="164">
        <f>D48/E48</f>
        <v/>
      </c>
      <c r="G48">
        <f>IF(F48&gt;=5,"Excellent",IF(F48&gt;=3,"Investable",IF(F48&gt;=1,"Marginal","Unprofitable")))</f>
        <v/>
      </c>
    </row>
    <row r="49">
      <c r="A49" t="inlineStr">
        <is>
          <t>Pessimistic — pure trial users</t>
        </is>
      </c>
      <c r="B49" s="26" t="n">
        <v>0.4</v>
      </c>
      <c r="C49" s="163">
        <f>1/B49</f>
        <v/>
      </c>
      <c r="D49" s="54">
        <f>B28*C49</f>
        <v/>
      </c>
      <c r="E49" s="54">
        <f>$C$23</f>
        <v/>
      </c>
      <c r="F49" s="164">
        <f>D49/E49</f>
        <v/>
      </c>
      <c r="G49">
        <f>IF(F49&gt;=5,"Excellent",IF(F49&gt;=3,"Investable",IF(F49&gt;=1,"Marginal","Unprofitable")))</f>
        <v/>
      </c>
    </row>
    <row r="51">
      <c r="A51" s="165" t="inlineStr">
        <is>
          <t>INSIGHT: Even at the WORST Economy churn (40%), LTV:CAC stays excellent because our $0.75 CAC is so low.</t>
        </is>
      </c>
    </row>
    <row r="52">
      <c r="A52" s="149" t="inlineStr">
        <is>
          <t>The risk is NOT unit economics — it is whether word-of-mouth alone can scale fast enough to reach 5K users in 24 months.</t>
        </is>
      </c>
    </row>
    <row r="55">
      <c r="A55" s="148" t="inlineStr">
        <is>
          <t>PAYBACK PERIOD — explained simply (the lemonade analogy)</t>
        </is>
      </c>
    </row>
    <row r="57" ht="30" customHeight="1">
      <c r="A57" s="151" t="inlineStr">
        <is>
          <t>The plain-English question:</t>
        </is>
      </c>
      <c r="B57" s="170" t="inlineStr">
        <is>
          <t>"How long does a new user need to stay a paying customer before they have earned back the cost we spent to acquire them?"</t>
        </is>
      </c>
    </row>
    <row r="59" ht="45" customHeight="1">
      <c r="A59" s="151" t="inlineStr">
        <is>
          <t>Lemonade stand example:</t>
        </is>
      </c>
      <c r="B59" s="171" t="inlineStr">
        <is>
          <t>You spend $5 on posters to attract a customer. Each lemonade they buy earns you $2 profit. After 3 lemonades ($6 cumulative), you have paid back the $5 poster cost. Every lemonade after that = pure profit.</t>
        </is>
      </c>
    </row>
    <row r="61">
      <c r="A61" s="151" t="inlineStr">
        <is>
          <t>For Peanut (Premium tier example):</t>
        </is>
      </c>
    </row>
    <row r="62">
      <c r="A62" t="inlineStr">
        <is>
          <t>Cost to acquire a Premium user (blended CAC)</t>
        </is>
      </c>
      <c r="B62" s="54">
        <f>$C$23</f>
        <v/>
      </c>
    </row>
    <row r="63">
      <c r="A63" t="inlineStr">
        <is>
          <t>Profit from a Premium user per month</t>
        </is>
      </c>
      <c r="B63" s="54">
        <f>'Per-Tier Unit Economics'!K9</f>
        <v/>
      </c>
    </row>
    <row r="64">
      <c r="A64" t="inlineStr">
        <is>
          <t>Payback period (months)</t>
        </is>
      </c>
      <c r="B64" s="172">
        <f>B62/B63</f>
        <v/>
      </c>
    </row>
    <row r="65">
      <c r="A65" t="inlineStr">
        <is>
          <t>Payback period (days)</t>
        </is>
      </c>
      <c r="B65" s="173">
        <f>B64*30</f>
        <v/>
      </c>
    </row>
    <row r="67" ht="45" customHeight="1">
      <c r="A67" s="174" t="inlineStr">
        <is>
          <t>TAKEAWAY:</t>
        </is>
      </c>
      <c r="B67" s="175" t="inlineStr">
        <is>
          <t>A Premium user pays us back the $0.75 referral cost in under 2 days. Every day after that, they are pure profit. This is why our low-CAC + high-contribution model is so strong — we are never "underwater" on a user for long.</t>
        </is>
      </c>
    </row>
    <row r="68" ht="30" customHeight="1">
      <c r="A68" s="176" t="inlineStr">
        <is>
          <t>Compare to a typical startup:</t>
        </is>
      </c>
      <c r="B68" s="177" t="inlineStr">
        <is>
          <t>Company spends $50 on Facebook ads per user, earns $5/mo profit. Payback = 10 months. They are underwater for nearly a year. Most startups die in that gap.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wholesale supplier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wholesale supplier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2026-06-01T16:58:41Z</dcterms:modified>
</cp:coreProperties>
</file>