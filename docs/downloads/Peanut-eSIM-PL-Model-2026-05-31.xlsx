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</numFmts>
  <fonts count="34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</fonts>
  <fills count="13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3"/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n">
        <v>0.85</v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1.4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8.5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5.8</v>
      </c>
      <c r="D29" s="13" t="n">
        <v>0.05</v>
      </c>
    </row>
    <row r="31">
      <c r="A31" s="9" t="inlineStr">
        <is>
          <t>BLENDED COST / GB</t>
        </is>
      </c>
      <c r="C31" s="11">
        <f>SUMPRODUCT(C25:C27,D25:D27)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7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A25:F2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refuel income, gross margin, and net margin (after OPEX). Single-user view.</t>
        </is>
      </c>
    </row>
    <row r="3">
      <c r="A3" s="39" t="inlineStr">
        <is>
          <t>Pulls prices from README (rows 14-21), GB Consumed from Tab 2 (rows 21-28), blended wholesale cost from README C31, OPEX from README B53.</t>
        </is>
      </c>
    </row>
    <row r="5">
      <c r="A5" s="94" t="inlineStr">
        <is>
          <t>1. PER-TIER UNIT ECONOMICS — single subscriber per month</t>
        </is>
      </c>
    </row>
    <row r="7" ht="50" customHeight="1">
      <c r="A7" s="47" t="inlineStr">
        <is>
          <t>Tier</t>
        </is>
      </c>
      <c r="B7" s="47" t="inlineStr">
        <is>
          <t>Monthly Revenue</t>
        </is>
      </c>
      <c r="C7" s="47" t="inlineStr">
        <is>
          <t>GB Consumed</t>
        </is>
      </c>
      <c r="D7" s="47" t="inlineStr">
        <is>
          <t>Wholesale $/GB</t>
        </is>
      </c>
      <c r="E7" s="47" t="inlineStr">
        <is>
          <t>eSIM COGS</t>
        </is>
      </c>
      <c r="F7" s="47" t="inlineStr">
        <is>
          <t>Refuel Attach %</t>
        </is>
      </c>
      <c r="G7" s="47" t="inlineStr">
        <is>
          <t>Refuel Revenue</t>
        </is>
      </c>
      <c r="H7" s="47" t="inlineStr">
        <is>
          <t>Refuel COGS</t>
        </is>
      </c>
      <c r="I7" s="47" t="inlineStr">
        <is>
          <t>Total Revenue</t>
        </is>
      </c>
      <c r="J7" s="47" t="inlineStr">
        <is>
          <t>Total COGS</t>
        </is>
      </c>
      <c r="K7" s="47" t="inlineStr">
        <is>
          <t>Gross Profit</t>
        </is>
      </c>
      <c r="L7" s="47" t="inlineStr">
        <is>
          <t>Gross Margin %</t>
        </is>
      </c>
      <c r="M7" s="47" t="inlineStr">
        <is>
          <t>Net Margin (after OPEX)</t>
        </is>
      </c>
    </row>
    <row r="8">
      <c r="A8" s="90" t="inlineStr">
        <is>
          <t>Economy (PAYG)</t>
        </is>
      </c>
      <c r="B8" s="46">
        <f>'README &amp; Assumptions'!B14</f>
        <v/>
      </c>
      <c r="C8" s="49">
        <f>'User Behavior'!D21</f>
        <v/>
      </c>
      <c r="D8" s="46">
        <f>'README &amp; Assumptions'!C31</f>
        <v/>
      </c>
      <c r="E8" s="54">
        <f>C8*D8</f>
        <v/>
      </c>
      <c r="F8" s="81" t="n">
        <v>0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Roster Bundle</t>
        </is>
      </c>
      <c r="B9" s="46">
        <f>'README &amp; Assumptions'!B15</f>
        <v/>
      </c>
      <c r="C9" s="49">
        <f>'User Behavior'!D22</f>
        <v/>
      </c>
      <c r="D9" s="46">
        <f>'README &amp; Assumptions'!C31</f>
        <v/>
      </c>
      <c r="E9" s="54">
        <f>C9*D9</f>
        <v/>
      </c>
      <c r="F9" s="81" t="n">
        <v>0.1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0" t="inlineStr">
        <is>
          <t>Premium Economy</t>
        </is>
      </c>
      <c r="B10" s="46">
        <f>'README &amp; Assumptions'!B16</f>
        <v/>
      </c>
      <c r="C10" s="49">
        <f>'User Behavior'!D23</f>
        <v/>
      </c>
      <c r="D10" s="46">
        <f>'README &amp; Assumptions'!C31</f>
        <v/>
      </c>
      <c r="E10" s="54">
        <f>C10*D10</f>
        <v/>
      </c>
      <c r="F10" s="81" t="n">
        <v>0.2</v>
      </c>
      <c r="G10" s="54">
        <f>F10*'README &amp; Assumptions'!B21</f>
        <v/>
      </c>
      <c r="H10" s="54">
        <f>F10*1*D10</f>
        <v/>
      </c>
      <c r="I10" s="54">
        <f>B10+G10</f>
        <v/>
      </c>
      <c r="J10" s="54">
        <f>E10+H10</f>
        <v/>
      </c>
      <c r="K10" s="54">
        <f>I10-J10</f>
        <v/>
      </c>
      <c r="L10" s="26">
        <f>IFERROR(K10/I10,0)</f>
        <v/>
      </c>
      <c r="M10" s="26">
        <f>IFERROR((K10-'README &amp; Assumptions'!B53)/I10,0)</f>
        <v/>
      </c>
    </row>
    <row r="11">
      <c r="A11" s="93" t="inlineStr">
        <is>
          <t>Business</t>
        </is>
      </c>
      <c r="B11" s="101">
        <f>'README &amp; Assumptions'!B17</f>
        <v/>
      </c>
      <c r="C11" s="102">
        <f>'User Behavior'!D24</f>
        <v/>
      </c>
      <c r="D11" s="101">
        <f>'README &amp; Assumptions'!C31</f>
        <v/>
      </c>
      <c r="E11" s="59">
        <f>C11*D11</f>
        <v/>
      </c>
      <c r="F11" s="103" t="n">
        <v>0.25</v>
      </c>
      <c r="G11" s="59">
        <f>F11*'README &amp; Assumptions'!B21</f>
        <v/>
      </c>
      <c r="H11" s="59">
        <f>F11*1*D11</f>
        <v/>
      </c>
      <c r="I11" s="59">
        <f>B11+G11</f>
        <v/>
      </c>
      <c r="J11" s="59">
        <f>E11+H11</f>
        <v/>
      </c>
      <c r="K11" s="59">
        <f>I11-J11</f>
        <v/>
      </c>
      <c r="L11" s="104">
        <f>IFERROR(K11/I11,0)</f>
        <v/>
      </c>
      <c r="M11" s="104">
        <f>IFERROR((K11-'README &amp; Assumptions'!B53)/I11,0)</f>
        <v/>
      </c>
    </row>
    <row r="12">
      <c r="A12" s="90" t="inlineStr">
        <is>
          <t>First</t>
        </is>
      </c>
      <c r="B12" s="46">
        <f>'README &amp; Assumptions'!B18</f>
        <v/>
      </c>
      <c r="C12" s="49">
        <f>'User Behavior'!D25</f>
        <v/>
      </c>
      <c r="D12" s="46">
        <f>'README &amp; Assumptions'!C31</f>
        <v/>
      </c>
      <c r="E12" s="54">
        <f>C12*D12</f>
        <v/>
      </c>
      <c r="F12" s="81" t="n">
        <v>0.4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First Suite</t>
        </is>
      </c>
      <c r="B13" s="46">
        <f>'README &amp; Assumptions'!B19</f>
        <v/>
      </c>
      <c r="C13" s="49">
        <f>'User Behavior'!D26</f>
        <v/>
      </c>
      <c r="D13" s="46">
        <f>'README &amp; Assumptions'!C31</f>
        <v/>
      </c>
      <c r="E13" s="54">
        <f>C13*D13</f>
        <v/>
      </c>
      <c r="F13" s="81" t="n">
        <v>0.2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4">
      <c r="A14" s="90" t="inlineStr">
        <is>
          <t>Cockpit (annual)</t>
        </is>
      </c>
      <c r="B14" s="46">
        <f>'README &amp; Assumptions'!B20</f>
        <v/>
      </c>
      <c r="C14" s="49">
        <f>'User Behavior'!D27</f>
        <v/>
      </c>
      <c r="D14" s="46">
        <f>'README &amp; Assumptions'!C31</f>
        <v/>
      </c>
      <c r="E14" s="54">
        <f>C14*D14</f>
        <v/>
      </c>
      <c r="F14" s="81" t="n">
        <v>0.15</v>
      </c>
      <c r="G14" s="54">
        <f>F14*'README &amp; Assumptions'!B21</f>
        <v/>
      </c>
      <c r="H14" s="54">
        <f>F14*1*D14</f>
        <v/>
      </c>
      <c r="I14" s="54">
        <f>B14+G14</f>
        <v/>
      </c>
      <c r="J14" s="54">
        <f>E14+H14</f>
        <v/>
      </c>
      <c r="K14" s="54">
        <f>I14-J14</f>
        <v/>
      </c>
      <c r="L14" s="26">
        <f>IFERROR(K14/I14,0)</f>
        <v/>
      </c>
      <c r="M14" s="26">
        <f>IFERROR((K14-'README &amp; Assumptions'!B53)/I14,0)</f>
        <v/>
      </c>
    </row>
    <row r="16">
      <c r="A16" s="39" t="inlineStr">
        <is>
          <t>⚠ Cockpit revenue here shows monthly equivalent ($24.92), not the annual $299 prepay. Cockpit ROI is best understood in Cockpit Logic tab.</t>
        </is>
      </c>
    </row>
    <row r="18">
      <c r="A18" s="94" t="inlineStr">
        <is>
          <t>2. HOW TO READ THIS TAB</t>
        </is>
      </c>
    </row>
    <row r="19">
      <c r="A19" s="95" t="inlineStr">
        <is>
          <t>Monthly Revenue</t>
        </is>
      </c>
      <c r="B19" s="90" t="inlineStr">
        <is>
          <t>What user pays us per month for their subscription/PAYG plan</t>
        </is>
      </c>
    </row>
    <row r="20">
      <c r="A20" s="95" t="inlineStr">
        <is>
          <t>GB Consumed</t>
        </is>
      </c>
      <c r="B20" s="90" t="inlineStr">
        <is>
          <t>How much data they actually USE (from Tab 2 per-tier rates, friction-adjusted)</t>
        </is>
      </c>
    </row>
    <row r="21">
      <c r="A21" s="95" t="inlineStr">
        <is>
          <t>Wholesale $/GB</t>
        </is>
      </c>
      <c r="B21" s="90" t="inlineStr">
        <is>
          <t>What we pay Samurai per GB consumed (blended Tier-A/B/C cost)</t>
        </is>
      </c>
    </row>
    <row r="22">
      <c r="A22" s="95" t="inlineStr">
        <is>
          <t>eSIM COGS</t>
        </is>
      </c>
      <c r="B22" s="90" t="inlineStr">
        <is>
          <t>GB consumed × wholesale $/GB = what we owe Samurai for this user</t>
        </is>
      </c>
    </row>
    <row r="23">
      <c r="A23" s="95" t="inlineStr">
        <is>
          <t>Refuel Revenue + COGS</t>
        </is>
      </c>
      <c r="B23" s="90" t="inlineStr">
        <is>
          <t>Some % of users top up. They pay $4.99 per 1 GB, we pay ~$0.85-$1.40 wholesale.</t>
        </is>
      </c>
    </row>
    <row r="24">
      <c r="A24" s="95" t="inlineStr">
        <is>
          <t>Total Revenue / COGS</t>
        </is>
      </c>
      <c r="B24" s="90" t="inlineStr">
        <is>
          <t>Sum of base + refuel</t>
        </is>
      </c>
    </row>
    <row r="25">
      <c r="A25" s="95" t="inlineStr">
        <is>
          <t>Gross Profit</t>
        </is>
      </c>
      <c r="B25" s="90" t="inlineStr">
        <is>
          <t>Total Revenue - Total COGS (before operating costs)</t>
        </is>
      </c>
    </row>
    <row r="26">
      <c r="A26" s="95" t="inlineStr">
        <is>
          <t>Gross Margin %</t>
        </is>
      </c>
      <c r="B26" s="90" t="inlineStr">
        <is>
          <t>Industry-standard profitability indicator. Target: 60-80%.</t>
        </is>
      </c>
    </row>
    <row r="27">
      <c r="A27" s="95" t="inlineStr">
        <is>
          <t>Net Margin (after OPEX)</t>
        </is>
      </c>
      <c r="B27" s="90" t="inlineStr">
        <is>
          <t>Gross Profit minus $1.80/user OPEX (cloud, payments, support, SMS, hosting)</t>
        </is>
      </c>
    </row>
    <row r="30">
      <c r="A30" s="94" t="inlineStr">
        <is>
          <t>3. SOURCES &amp; CONFIDENCE</t>
        </is>
      </c>
    </row>
    <row r="31">
      <c r="A31" s="41" t="inlineStr">
        <is>
          <t>Component</t>
        </is>
      </c>
      <c r="B31" s="41" t="inlineStr">
        <is>
          <t>Source</t>
        </is>
      </c>
      <c r="C31" s="41" t="inlineStr">
        <is>
          <t>Confidence</t>
        </is>
      </c>
    </row>
    <row r="32">
      <c r="A32" s="90" t="inlineStr">
        <is>
          <t>Retail prices</t>
        </is>
      </c>
      <c r="B32" s="90" t="inlineStr">
        <is>
          <t>Locked decisions 2026-06-01 (Tab 1 Section 2)</t>
        </is>
      </c>
      <c r="C32" s="90" t="inlineStr">
        <is>
          <t>HIGH</t>
        </is>
      </c>
    </row>
    <row r="33">
      <c r="A33" s="90" t="inlineStr">
        <is>
          <t>GB Consumed</t>
        </is>
      </c>
      <c r="B33" s="90" t="inlineStr">
        <is>
          <t>Per-tier rates from Tab 2 (40/45/54/33/60%)</t>
        </is>
      </c>
      <c r="C33" s="90" t="inlineStr">
        <is>
          <t>MEDIUM (estimates)</t>
        </is>
      </c>
    </row>
    <row r="34">
      <c r="A34" s="90" t="inlineStr">
        <is>
          <t>Wholesale $/GB</t>
        </is>
      </c>
      <c r="B34" s="90" t="inlineStr">
        <is>
          <t>Real Samurai rate sheet, weighted by 60/25/15 country mix</t>
        </is>
      </c>
      <c r="C34" s="90" t="inlineStr">
        <is>
          <t>MEDIUM (mix is placeholder)</t>
        </is>
      </c>
    </row>
    <row r="35">
      <c r="A35" s="90" t="inlineStr">
        <is>
          <t>Refuel attach %</t>
        </is>
      </c>
      <c r="B35" s="90" t="inlineStr">
        <is>
          <t>MY ESTIMATE per tier (10-40%)</t>
        </is>
      </c>
      <c r="C35" s="90" t="inlineStr">
        <is>
          <t>LOW (needs validation)</t>
        </is>
      </c>
    </row>
    <row r="36">
      <c r="A36" s="90" t="inlineStr">
        <is>
          <t>OPEX $1.80/user</t>
        </is>
      </c>
      <c r="B36" s="90" t="inlineStr">
        <is>
          <t>Tab 1 Section 5 — payment processing $1.20 + others</t>
        </is>
      </c>
      <c r="C36" s="90" t="inlineStr">
        <is>
          <t>MEDIUM</t>
        </is>
      </c>
    </row>
    <row r="39">
      <c r="A39" s="94" t="inlineStr">
        <is>
          <t>4. VALIDATION QUEUE</t>
        </is>
      </c>
    </row>
    <row r="40">
      <c r="A40" s="39" t="inlineStr">
        <is>
          <t>• Per-tier refuel attach rates (10/20/25/40/20/15%) — validate via app analytics post-launch</t>
        </is>
      </c>
    </row>
    <row r="41">
      <c r="A41" s="39" t="inlineStr">
        <is>
          <t>• Wholesale country mix (60/25/15) — Akito to validate via 5-10 sample crew rosters</t>
        </is>
      </c>
    </row>
    <row r="42">
      <c r="A42" s="39" t="inlineStr">
        <is>
          <t>• Per-tier consumption rates inherited from Tab 2 (same validation as Tab 2)</t>
        </is>
      </c>
    </row>
    <row r="43">
      <c r="A43" s="39" t="inlineStr">
        <is>
          <t>• Sensitivity test: what happens if Premium consumption is 50% instead of 40%?</t>
        </is>
      </c>
    </row>
  </sheetData>
  <mergeCells count="17">
    <mergeCell ref="B24:M24"/>
    <mergeCell ref="A1:M1"/>
    <mergeCell ref="B25:M25"/>
    <mergeCell ref="B19:M19"/>
    <mergeCell ref="B20:M20"/>
    <mergeCell ref="B21:M21"/>
    <mergeCell ref="A16:M16"/>
    <mergeCell ref="B23:M23"/>
    <mergeCell ref="A40:M40"/>
    <mergeCell ref="B22:M22"/>
    <mergeCell ref="A3:M3"/>
    <mergeCell ref="B26:M26"/>
    <mergeCell ref="B27:M27"/>
    <mergeCell ref="A43:M43"/>
    <mergeCell ref="A41:M4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1.2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$1.20 blended wholesale: Samurai global-pool estimate; will sharpen after first month of real data.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1.2</v>
      </c>
      <c r="C20" s="39" t="inlineStr">
        <is>
          <t>Same blended rate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1.2</v>
      </c>
      <c r="C19" s="39" t="inlineStr">
        <is>
          <t>Same blended rate</t>
        </is>
      </c>
    </row>
    <row r="20">
      <c r="A20" s="48" t="inlineStr">
        <is>
          <t>Wholesale COGS</t>
        </is>
      </c>
      <c r="B20" s="54">
        <f>B14*B15</f>
        <v/>
      </c>
      <c r="C20" s="39" t="inlineStr">
        <is>
          <t>13.6 × $1.20</t>
        </is>
      </c>
    </row>
    <row r="21">
      <c r="A21" s="48" t="inlineStr">
        <is>
          <t>GB Carryover bank</t>
        </is>
      </c>
      <c r="B21" s="82">
        <f>(25-B14)*1.0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B18*5.99</f>
        <v/>
      </c>
    </row>
    <row r="24">
      <c r="A24" s="48" t="inlineStr">
        <is>
          <t>Refuel COGS</t>
        </is>
      </c>
      <c r="B24" s="54">
        <f>B18*B15</f>
        <v/>
      </c>
    </row>
    <row r="25">
      <c r="A25" s="48" t="inlineStr">
        <is>
          <t>TOTAL profit per user / mo</t>
        </is>
      </c>
      <c r="B25" s="83" t="n">
        <v>25.59</v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 t="n">
        <v>0.605</v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767.7</v>
      </c>
      <c r="D31" s="86" t="n">
        <v>9212.400000000001</v>
      </c>
    </row>
    <row r="32">
      <c r="A32" s="71" t="n">
        <v>5000</v>
      </c>
      <c r="B32" s="71" t="n">
        <v>150</v>
      </c>
      <c r="C32" s="86" t="n">
        <v>3838.5</v>
      </c>
      <c r="D32" s="86" t="n">
        <v>46062</v>
      </c>
    </row>
    <row r="33">
      <c r="A33" s="71" t="n">
        <v>10000</v>
      </c>
      <c r="B33" s="71" t="n">
        <v>300</v>
      </c>
      <c r="C33" s="86" t="n">
        <v>7677</v>
      </c>
      <c r="D33" s="86" t="n">
        <v>92124</v>
      </c>
    </row>
    <row r="34">
      <c r="A34" s="71" t="n">
        <v>50000</v>
      </c>
      <c r="B34" s="71" t="n">
        <v>1500</v>
      </c>
      <c r="C34" s="86" t="n">
        <v>38385</v>
      </c>
      <c r="D34" s="86" t="n">
        <v>460620</v>
      </c>
    </row>
    <row r="35">
      <c r="A35" s="71" t="n">
        <v>100000</v>
      </c>
      <c r="B35" s="71" t="n">
        <v>3000</v>
      </c>
      <c r="C35" s="87" t="n">
        <v>76770</v>
      </c>
      <c r="D35" s="87" t="n">
        <v>921240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1.2</v>
      </c>
    </row>
    <row r="21">
      <c r="A21" s="48" t="inlineStr">
        <is>
          <t>Wholesale COGS</t>
        </is>
      </c>
      <c r="B21" s="54">
        <f>B14*B15</f>
        <v/>
      </c>
      <c r="C21" s="39" t="inlineStr">
        <is>
          <t>13.2 × $1.20</t>
        </is>
      </c>
    </row>
    <row r="22">
      <c r="A22" s="48" t="inlineStr">
        <is>
          <t>GB Carryover bank</t>
        </is>
      </c>
      <c r="B22" s="82">
        <f>(40-B14)*1.0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B18*5.99</f>
        <v/>
      </c>
    </row>
    <row r="25">
      <c r="A25" s="48" t="inlineStr">
        <is>
          <t>Refuel COGS</t>
        </is>
      </c>
      <c r="B25" s="54">
        <f>B18*B15</f>
        <v/>
      </c>
    </row>
    <row r="26">
      <c r="A26" s="48" t="inlineStr">
        <is>
          <t>TOTAL profit per user / mo</t>
        </is>
      </c>
      <c r="B26" s="83" t="n">
        <v>35.11</v>
      </c>
    </row>
    <row r="27">
      <c r="A27" s="48" t="inlineStr">
        <is>
          <t>TOTAL margin</t>
        </is>
      </c>
      <c r="B27" s="84" t="n">
        <v>0.6860000000000001</v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702.2</v>
      </c>
      <c r="D32" s="86" t="n">
        <v>8426.400000000001</v>
      </c>
    </row>
    <row r="33">
      <c r="A33" s="71" t="n">
        <v>5000</v>
      </c>
      <c r="B33" s="71" t="n">
        <v>100</v>
      </c>
      <c r="C33" s="86" t="n">
        <v>3511</v>
      </c>
      <c r="D33" s="86" t="n">
        <v>42132</v>
      </c>
    </row>
    <row r="34">
      <c r="A34" s="71" t="n">
        <v>10000</v>
      </c>
      <c r="B34" s="71" t="n">
        <v>200</v>
      </c>
      <c r="C34" s="86" t="n">
        <v>7022</v>
      </c>
      <c r="D34" s="86" t="n">
        <v>84264</v>
      </c>
    </row>
    <row r="35">
      <c r="A35" s="71" t="n">
        <v>50000</v>
      </c>
      <c r="B35" s="71" t="n">
        <v>1000</v>
      </c>
      <c r="C35" s="86" t="n">
        <v>35110</v>
      </c>
      <c r="D35" s="86" t="n">
        <v>421320</v>
      </c>
    </row>
    <row r="36">
      <c r="A36" s="71" t="n">
        <v>100000</v>
      </c>
      <c r="B36" s="71" t="n">
        <v>2000</v>
      </c>
      <c r="C36" s="87" t="n">
        <v>70220</v>
      </c>
      <c r="D36" s="87" t="n">
        <v>842640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1.2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$1.20 blended)</t>
        </is>
      </c>
      <c r="B17" s="54" t="n">
        <v>1.2</v>
      </c>
      <c r="C17" s="39" t="inlineStr">
        <is>
          <t>Blended Samurai rate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2026-06-01T12:09:17Z</dcterms:modified>
</cp:coreProperties>
</file>