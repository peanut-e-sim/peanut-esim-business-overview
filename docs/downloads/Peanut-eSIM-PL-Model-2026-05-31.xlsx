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Volume Scenarios" sheetId="12" state="visible" r:id="rId12"/>
    <sheet xmlns:r="http://schemas.openxmlformats.org/officeDocument/2006/relationships" name="Procurement Options" sheetId="13" state="visible" r:id="rId13"/>
    <sheet xmlns:r="http://schemas.openxmlformats.org/officeDocument/2006/relationships" name="24-Month Rollout" sheetId="14" state="visible" r:id="rId14"/>
    <sheet xmlns:r="http://schemas.openxmlformats.org/officeDocument/2006/relationships" name="Behavior Sensitivity" sheetId="15" state="visible" r:id="rId15"/>
    <sheet xmlns:r="http://schemas.openxmlformats.org/officeDocument/2006/relationships" name="LTV-CAC + Churn" sheetId="16" state="visible" r:id="rId16"/>
    <sheet xmlns:r="http://schemas.openxmlformats.org/officeDocument/2006/relationships" name="Per-Tier Geo Mix" sheetId="17" state="visible" r:id="rId17"/>
    <sheet xmlns:r="http://schemas.openxmlformats.org/officeDocument/2006/relationships" name="Carryover Liability" sheetId="18" state="visible" r:id="rId18"/>
    <sheet xmlns:r="http://schemas.openxmlformats.org/officeDocument/2006/relationships" name="Strategic Scenarios" sheetId="19" state="visible" r:id="rId19"/>
    <sheet xmlns:r="http://schemas.openxmlformats.org/officeDocument/2006/relationships" name="Cash + Sensitivity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</numFmts>
  <fonts count="29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COSTS are real Samurai data. MIX % (60/25/15) is placeholder — awaiting Akito crew roster validation.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n">
        <v>0.85</v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1.4</v>
      </c>
      <c r="D27" s="13" t="n">
        <v>0.6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8.5</v>
      </c>
      <c r="D28" s="13" t="n">
        <v>0.25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5.8</v>
      </c>
      <c r="D29" s="13" t="n">
        <v>0.15</v>
      </c>
    </row>
    <row r="31">
      <c r="A31" s="9" t="inlineStr">
        <is>
          <t>BLENDED COST / GB</t>
        </is>
      </c>
      <c r="C31" s="11">
        <f>SUMPRODUCT(C25:C27,D25:D27)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4">
      <c r="C14" t="inlineStr">
        <is>
          <t>% Consumed (per-tier friction-adjusted)</t>
        </is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 t="n">
        <v>1</v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 t="n">
        <v>0.4</v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 t="n">
        <v>0.45</v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 t="n">
        <v>0.54</v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0" t="inlineStr">
        <is>
          <t>First Suite</t>
        </is>
      </c>
      <c r="B22">
        <f>'README &amp; Assumptions'!D19</f>
        <v/>
      </c>
      <c r="C22" s="26" t="n">
        <v>0.33</v>
      </c>
      <c r="D22">
        <f>B22*C22</f>
        <v/>
      </c>
      <c r="E22">
        <f>(B22-D22)*'README &amp; Assumptions'!E19</f>
        <v/>
      </c>
      <c r="F22">
        <f>(B22-D22)*(1-'README &amp; Assumptions'!E19)</f>
        <v/>
      </c>
    </row>
    <row r="23">
      <c r="A23" s="9" t="inlineStr">
        <is>
          <t>Cockpit</t>
        </is>
      </c>
      <c r="B23" s="18">
        <f>'README &amp; Assumptions'!D20</f>
        <v/>
      </c>
      <c r="C23" s="19" t="n">
        <v>0.6</v>
      </c>
      <c r="D23" s="20">
        <f>B22*C22</f>
        <v/>
      </c>
      <c r="E23" s="20">
        <f>(B23-D23)*'README &amp; Assumptions'!E20</f>
        <v/>
      </c>
      <c r="F23" s="20">
        <f>(B23-D23)*(1-'README &amp; Assumptions'!E20)</f>
        <v/>
      </c>
    </row>
    <row r="24">
      <c r="A24" s="9" t="inlineStr">
        <is>
          <t>Refuel attach</t>
        </is>
      </c>
      <c r="B24" s="18">
        <f>'README &amp; Assumptions'!D21</f>
        <v/>
      </c>
      <c r="C24" s="19" t="n">
        <v>1</v>
      </c>
      <c r="D24" s="20">
        <f>B23*C23</f>
        <v/>
      </c>
      <c r="E24" s="20">
        <f>(B24-D24)*'README &amp; Assumptions'!E21</f>
        <v/>
      </c>
      <c r="F24" s="20">
        <f>(B24-D24)*(1-'README &amp; Assumptions'!E21)</f>
        <v/>
      </c>
    </row>
    <row r="25">
      <c r="A25" s="39" t="inlineStr">
        <is>
          <t>ℹ Per-tier consumption rates above OVERRIDE the weighted average from archetypes (rows 6-9). 1-GB refill UX changes behavior per tier.</t>
        </is>
      </c>
    </row>
  </sheetData>
  <mergeCells count="1"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1.2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2026-06-01T10:19:22Z</dcterms:modified>
</cp:coreProperties>
</file>